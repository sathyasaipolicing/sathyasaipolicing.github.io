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sss\OneDrive\Desktop\Smart Policing\01.10.2026 to 07.10.2026\"/>
    </mc:Choice>
  </mc:AlternateContent>
  <xr:revisionPtr revIDLastSave="0" documentId="13_ncr:1_{F20759EB-B7CF-400F-966F-F55516307563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1_Medleaper-MLC" sheetId="1" r:id="rId1"/>
    <sheet name="2_ Medleaper-PME" sheetId="2" r:id="rId2"/>
    <sheet name="4_EDAR" sheetId="4" r:id="rId3"/>
    <sheet name="8_ZEROFIRS" sheetId="8" r:id="rId4"/>
    <sheet name="9_CITIZENPORTAL" sheetId="9" r:id="rId5"/>
    <sheet name="12_EPROSECUTION" sheetId="12" r:id="rId6"/>
    <sheet name="15_CCTV360" sheetId="15" r:id="rId7"/>
    <sheet name="CEIR" sheetId="2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4" l="1"/>
  <c r="D43" i="4"/>
  <c r="E43" i="4"/>
  <c r="J43" i="15"/>
  <c r="K43" i="15" s="1"/>
  <c r="I43" i="15"/>
  <c r="I42" i="15"/>
  <c r="J42" i="15" s="1"/>
  <c r="K42" i="15" s="1"/>
  <c r="J41" i="15"/>
  <c r="K41" i="15" s="1"/>
  <c r="I41" i="15"/>
  <c r="J40" i="15"/>
  <c r="K40" i="15" s="1"/>
  <c r="I40" i="15"/>
  <c r="K39" i="15"/>
  <c r="J39" i="15"/>
  <c r="I39" i="15"/>
  <c r="I38" i="15"/>
  <c r="J38" i="15" s="1"/>
  <c r="K38" i="15" s="1"/>
  <c r="J37" i="15"/>
  <c r="K37" i="15" s="1"/>
  <c r="I37" i="15"/>
  <c r="J36" i="15"/>
  <c r="K36" i="15" s="1"/>
  <c r="I36" i="15"/>
  <c r="J35" i="15"/>
  <c r="K35" i="15" s="1"/>
  <c r="I35" i="15"/>
  <c r="J34" i="15"/>
  <c r="K34" i="15" s="1"/>
  <c r="I34" i="15"/>
  <c r="I33" i="15"/>
  <c r="J33" i="15" s="1"/>
  <c r="K33" i="15" s="1"/>
  <c r="J32" i="15"/>
  <c r="K32" i="15" s="1"/>
  <c r="I32" i="15"/>
  <c r="I31" i="15"/>
  <c r="J31" i="15" s="1"/>
  <c r="K31" i="15" s="1"/>
  <c r="J30" i="15"/>
  <c r="K30" i="15" s="1"/>
  <c r="I30" i="15"/>
  <c r="I29" i="15"/>
  <c r="J29" i="15" s="1"/>
  <c r="K29" i="15" s="1"/>
  <c r="J28" i="15"/>
  <c r="K28" i="15" s="1"/>
  <c r="I28" i="15"/>
  <c r="J27" i="15"/>
  <c r="K27" i="15" s="1"/>
  <c r="I27" i="15"/>
  <c r="I26" i="15"/>
  <c r="J26" i="15" s="1"/>
  <c r="K26" i="15" s="1"/>
  <c r="J25" i="15"/>
  <c r="K25" i="15" s="1"/>
  <c r="I25" i="15"/>
  <c r="J24" i="15"/>
  <c r="K24" i="15" s="1"/>
  <c r="I24" i="15"/>
  <c r="J23" i="15"/>
  <c r="K23" i="15" s="1"/>
  <c r="I23" i="15"/>
  <c r="J22" i="15"/>
  <c r="K22" i="15" s="1"/>
  <c r="I22" i="15"/>
  <c r="J21" i="15"/>
  <c r="K21" i="15" s="1"/>
  <c r="I21" i="15"/>
  <c r="I20" i="15"/>
  <c r="J20" i="15" s="1"/>
  <c r="K20" i="15" s="1"/>
  <c r="I19" i="15"/>
  <c r="J19" i="15" s="1"/>
  <c r="K19" i="15" s="1"/>
  <c r="I18" i="15"/>
  <c r="J18" i="15" s="1"/>
  <c r="K18" i="15" s="1"/>
  <c r="I17" i="15"/>
  <c r="J17" i="15" s="1"/>
  <c r="K17" i="15" s="1"/>
  <c r="I16" i="15"/>
  <c r="J16" i="15" s="1"/>
  <c r="K16" i="15" s="1"/>
  <c r="I15" i="15"/>
  <c r="J15" i="15" s="1"/>
  <c r="K15" i="15" s="1"/>
  <c r="I14" i="15"/>
  <c r="J14" i="15" s="1"/>
  <c r="K14" i="15" s="1"/>
  <c r="I13" i="15"/>
  <c r="J13" i="15" s="1"/>
  <c r="K13" i="15" s="1"/>
  <c r="I12" i="15"/>
  <c r="J12" i="15" s="1"/>
  <c r="K12" i="15" s="1"/>
  <c r="I11" i="15"/>
  <c r="J11" i="15" s="1"/>
  <c r="K11" i="15" s="1"/>
  <c r="I10" i="15"/>
  <c r="J10" i="15" s="1"/>
  <c r="K10" i="15" s="1"/>
  <c r="J9" i="15"/>
  <c r="K9" i="15" s="1"/>
  <c r="I9" i="15"/>
  <c r="J8" i="15"/>
  <c r="K8" i="15" s="1"/>
  <c r="I8" i="15"/>
  <c r="I7" i="15"/>
  <c r="J7" i="15" s="1"/>
  <c r="K7" i="15" s="1"/>
  <c r="I6" i="15"/>
  <c r="J6" i="15" s="1"/>
  <c r="K6" i="15" s="1"/>
  <c r="J5" i="15"/>
  <c r="K5" i="15" s="1"/>
  <c r="I5" i="15"/>
  <c r="I4" i="15"/>
  <c r="J4" i="15" s="1"/>
  <c r="K4" i="15" s="1"/>
  <c r="I3" i="15"/>
  <c r="J3" i="15" s="1"/>
  <c r="K3" i="15" s="1"/>
  <c r="D43" i="12"/>
  <c r="C43" i="12"/>
  <c r="G42" i="12"/>
  <c r="E42" i="12"/>
  <c r="G41" i="12"/>
  <c r="E41" i="12"/>
  <c r="G40" i="12"/>
  <c r="E40" i="12"/>
  <c r="G39" i="12"/>
  <c r="E39" i="12"/>
  <c r="G38" i="12"/>
  <c r="E38" i="12"/>
  <c r="G37" i="12"/>
  <c r="E37" i="12"/>
  <c r="G36" i="12"/>
  <c r="E36" i="12"/>
  <c r="G35" i="12"/>
  <c r="E35" i="12"/>
  <c r="G34" i="12"/>
  <c r="E34" i="12"/>
  <c r="G33" i="12"/>
  <c r="E33" i="12"/>
  <c r="G32" i="12"/>
  <c r="E32" i="12"/>
  <c r="G31" i="12"/>
  <c r="E31" i="12"/>
  <c r="G30" i="12"/>
  <c r="E30" i="12"/>
  <c r="G29" i="12"/>
  <c r="E29" i="12"/>
  <c r="G28" i="12"/>
  <c r="E28" i="12"/>
  <c r="G27" i="12"/>
  <c r="E27" i="12"/>
  <c r="G26" i="12"/>
  <c r="E26" i="12"/>
  <c r="G25" i="12"/>
  <c r="E25" i="12"/>
  <c r="G24" i="12"/>
  <c r="E24" i="12"/>
  <c r="G23" i="12"/>
  <c r="E23" i="12"/>
  <c r="G22" i="12"/>
  <c r="E22" i="12"/>
  <c r="G21" i="12"/>
  <c r="E21" i="12"/>
  <c r="G20" i="12"/>
  <c r="E20" i="12"/>
  <c r="G19" i="12"/>
  <c r="E19" i="12"/>
  <c r="G18" i="12"/>
  <c r="E18" i="12"/>
  <c r="G17" i="12"/>
  <c r="E17" i="12"/>
  <c r="G16" i="12"/>
  <c r="E16" i="12"/>
  <c r="G15" i="12"/>
  <c r="E15" i="12"/>
  <c r="G14" i="12"/>
  <c r="E14" i="12"/>
  <c r="G13" i="12"/>
  <c r="E13" i="12"/>
  <c r="G12" i="12"/>
  <c r="E12" i="12"/>
  <c r="G11" i="12"/>
  <c r="E11" i="12"/>
  <c r="G10" i="12"/>
  <c r="E10" i="12"/>
  <c r="G9" i="12"/>
  <c r="E9" i="12"/>
  <c r="G8" i="12"/>
  <c r="E8" i="12"/>
  <c r="G7" i="12"/>
  <c r="E7" i="12"/>
  <c r="G6" i="12"/>
  <c r="E6" i="12"/>
  <c r="G5" i="12"/>
  <c r="E5" i="12"/>
  <c r="G4" i="12"/>
  <c r="E4" i="12"/>
  <c r="G3" i="12"/>
  <c r="E3" i="12"/>
  <c r="F42" i="4"/>
  <c r="G42" i="4" s="1"/>
  <c r="F41" i="4"/>
  <c r="F40" i="4"/>
  <c r="F39" i="4"/>
  <c r="G39" i="4" s="1"/>
  <c r="F38" i="4"/>
  <c r="F37" i="4"/>
  <c r="F36" i="4"/>
  <c r="G36" i="4" s="1"/>
  <c r="F35" i="4"/>
  <c r="F34" i="4"/>
  <c r="F33" i="4"/>
  <c r="G33" i="4" s="1"/>
  <c r="F32" i="4"/>
  <c r="F31" i="4"/>
  <c r="F30" i="4"/>
  <c r="G30" i="4" s="1"/>
  <c r="F29" i="4"/>
  <c r="F28" i="4"/>
  <c r="F27" i="4"/>
  <c r="G27" i="4" s="1"/>
  <c r="F26" i="4"/>
  <c r="F25" i="4"/>
  <c r="F24" i="4"/>
  <c r="G24" i="4" s="1"/>
  <c r="F23" i="4"/>
  <c r="F22" i="4"/>
  <c r="F21" i="4"/>
  <c r="G21" i="4" s="1"/>
  <c r="F20" i="4"/>
  <c r="F19" i="4"/>
  <c r="F18" i="4"/>
  <c r="G18" i="4" s="1"/>
  <c r="F17" i="4"/>
  <c r="F16" i="4"/>
  <c r="F15" i="4"/>
  <c r="G15" i="4" s="1"/>
  <c r="F14" i="4"/>
  <c r="F13" i="4"/>
  <c r="F12" i="4"/>
  <c r="G12" i="4" s="1"/>
  <c r="F11" i="4"/>
  <c r="F10" i="4"/>
  <c r="F9" i="4"/>
  <c r="G9" i="4" s="1"/>
  <c r="F8" i="4"/>
  <c r="F7" i="4"/>
  <c r="F6" i="4"/>
  <c r="G6" i="4" s="1"/>
  <c r="F5" i="4"/>
  <c r="F4" i="4"/>
  <c r="F3" i="4"/>
  <c r="G3" i="4" s="1"/>
  <c r="D43" i="2"/>
  <c r="C43" i="2"/>
  <c r="D43" i="1"/>
  <c r="C43" i="1"/>
  <c r="E45" i="12"/>
  <c r="F45" i="12" s="1"/>
  <c r="G45" i="12" s="1"/>
  <c r="G42" i="9"/>
  <c r="G41" i="9"/>
  <c r="G40" i="9"/>
  <c r="H40" i="9" s="1"/>
  <c r="G39" i="9"/>
  <c r="H39" i="9" s="1"/>
  <c r="G38" i="9"/>
  <c r="G37" i="9"/>
  <c r="H37" i="9" s="1"/>
  <c r="G36" i="9"/>
  <c r="G35" i="9"/>
  <c r="G34" i="9"/>
  <c r="G33" i="9"/>
  <c r="G32" i="9"/>
  <c r="H32" i="9" s="1"/>
  <c r="G31" i="9"/>
  <c r="H31" i="9" s="1"/>
  <c r="G30" i="9"/>
  <c r="G29" i="9"/>
  <c r="G28" i="9"/>
  <c r="G27" i="9"/>
  <c r="G26" i="9"/>
  <c r="H26" i="9" s="1"/>
  <c r="G25" i="9"/>
  <c r="H25" i="9" s="1"/>
  <c r="G24" i="9"/>
  <c r="G23" i="9"/>
  <c r="G22" i="9"/>
  <c r="G21" i="9"/>
  <c r="H21" i="9" s="1"/>
  <c r="G20" i="9"/>
  <c r="H20" i="9" s="1"/>
  <c r="G19" i="9"/>
  <c r="G18" i="9"/>
  <c r="G17" i="9"/>
  <c r="G16" i="9"/>
  <c r="H16" i="9" s="1"/>
  <c r="G15" i="9"/>
  <c r="H15" i="9" s="1"/>
  <c r="G14" i="9"/>
  <c r="H13" i="9"/>
  <c r="G13" i="9"/>
  <c r="G12" i="9"/>
  <c r="G11" i="9"/>
  <c r="G10" i="9"/>
  <c r="G9" i="9"/>
  <c r="G8" i="9"/>
  <c r="H8" i="9" s="1"/>
  <c r="G7" i="9"/>
  <c r="H7" i="9" s="1"/>
  <c r="G6" i="9"/>
  <c r="F4" i="9"/>
  <c r="G4" i="9"/>
  <c r="G3" i="9"/>
  <c r="G45" i="8"/>
  <c r="F45" i="2"/>
  <c r="G45" i="2" s="1"/>
  <c r="F45" i="1"/>
  <c r="G45" i="1" s="1"/>
  <c r="G41" i="4" l="1"/>
  <c r="G40" i="4"/>
  <c r="G38" i="4"/>
  <c r="G37" i="4"/>
  <c r="G35" i="4"/>
  <c r="G34" i="4"/>
  <c r="G32" i="4"/>
  <c r="G31" i="4"/>
  <c r="G29" i="4"/>
  <c r="G28" i="4"/>
  <c r="G26" i="4"/>
  <c r="G25" i="4"/>
  <c r="G23" i="4"/>
  <c r="G22" i="4"/>
  <c r="G20" i="4"/>
  <c r="G19" i="4"/>
  <c r="G17" i="4"/>
  <c r="G16" i="4"/>
  <c r="G14" i="4"/>
  <c r="G13" i="4"/>
  <c r="G11" i="4"/>
  <c r="G10" i="4"/>
  <c r="G8" i="4"/>
  <c r="G7" i="4"/>
  <c r="G5" i="4"/>
  <c r="G4" i="4"/>
  <c r="H14" i="9"/>
  <c r="H34" i="9"/>
  <c r="H22" i="9"/>
  <c r="H3" i="9"/>
  <c r="H10" i="9"/>
  <c r="H38" i="9"/>
  <c r="H9" i="9"/>
  <c r="H19" i="9"/>
  <c r="H24" i="9"/>
  <c r="H29" i="9"/>
  <c r="H33" i="9"/>
  <c r="G5" i="9"/>
  <c r="F5" i="9"/>
  <c r="H23" i="9"/>
  <c r="H6" i="9"/>
  <c r="H11" i="9"/>
  <c r="H30" i="9"/>
  <c r="H35" i="9"/>
  <c r="H28" i="9"/>
  <c r="H4" i="9"/>
  <c r="H42" i="9"/>
  <c r="H18" i="9"/>
  <c r="H12" i="9"/>
  <c r="H17" i="9"/>
  <c r="H36" i="9"/>
  <c r="H41" i="9"/>
  <c r="H27" i="9"/>
  <c r="H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800-000001000000}">
      <text>
        <r>
          <rPr>
            <sz val="10"/>
            <rFont val="Arial"/>
            <family val="2"/>
          </rPr>
          <t>0 pending → 100, any pending → 50 (same rule the earlier marks 5 / 2.5 followed).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07FC75B0-4F80-4116-92A7-68CC0E6DC382}">
      <text>
        <r>
          <rPr>
            <sz val="10"/>
            <rFont val="Arial"/>
            <family val="2"/>
          </rPr>
          <t>Raw Value = earlier marks ×20 (5→100, 0→0), as entered in this sheet: 100 where eProc cases were created, else 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" authorId="0" shapeId="0" xr:uid="{7F43B8FB-D8DE-4828-B8EF-EB3748F10B4D}">
      <text>
        <r>
          <rPr>
            <sz val="10"/>
            <rFont val="Arial"/>
            <family val="2"/>
          </rPr>
          <t>Raw Value = (UI Pending total − still Pending) ÷ UI Pending total × 100; 0 cases → 100.</t>
        </r>
      </text>
    </comment>
  </commentList>
</comments>
</file>

<file path=xl/sharedStrings.xml><?xml version="1.0" encoding="utf-8"?>
<sst xmlns="http://schemas.openxmlformats.org/spreadsheetml/2006/main" count="445" uniqueCount="231">
  <si>
    <t>PS NAME</t>
  </si>
  <si>
    <t>% Requests
Completed</t>
  </si>
  <si>
    <t>Raw Value</t>
  </si>
  <si>
    <t>Marks</t>
  </si>
  <si>
    <t>Tadimarri</t>
  </si>
  <si>
    <t>Kadiri Town</t>
  </si>
  <si>
    <t>Dharmavaram I Town</t>
  </si>
  <si>
    <t>Hindupur I Town</t>
  </si>
  <si>
    <t>Madakasira ups</t>
  </si>
  <si>
    <t>Hindupur II Town</t>
  </si>
  <si>
    <t>Gorantla</t>
  </si>
  <si>
    <t>kothacheruvu ups</t>
  </si>
  <si>
    <t>Penukonda</t>
  </si>
  <si>
    <t>Chilmathur</t>
  </si>
  <si>
    <t>Bathalapalli</t>
  </si>
  <si>
    <t>Dharmavaram II Town</t>
  </si>
  <si>
    <t>Mudigubba</t>
  </si>
  <si>
    <t>Hindupur Rural</t>
  </si>
  <si>
    <t>Chennekothapalli</t>
  </si>
  <si>
    <t>Kanaganapalli</t>
  </si>
  <si>
    <t>Lepakshi</t>
  </si>
  <si>
    <t>Somandepalli</t>
  </si>
  <si>
    <t>Parigi</t>
  </si>
  <si>
    <t>Dharmavaram Rural</t>
  </si>
  <si>
    <t>Kadiri Rural</t>
  </si>
  <si>
    <t>Puttaparthi Town</t>
  </si>
  <si>
    <t>Nallamada</t>
  </si>
  <si>
    <t>Tanakal</t>
  </si>
  <si>
    <t>Roddam</t>
  </si>
  <si>
    <t>Talupula</t>
  </si>
  <si>
    <t>KIA PS</t>
  </si>
  <si>
    <t>Puttaparthy Rural</t>
  </si>
  <si>
    <t>Gudibanda</t>
  </si>
  <si>
    <t>Ramagiri</t>
  </si>
  <si>
    <t>O.D.Cheruvu</t>
  </si>
  <si>
    <t>Bukkapatnam</t>
  </si>
  <si>
    <t>Amarapuram</t>
  </si>
  <si>
    <t>N.P.Kunta</t>
  </si>
  <si>
    <t>Agali</t>
  </si>
  <si>
    <t>Rolla</t>
  </si>
  <si>
    <t>Gandlapenta</t>
  </si>
  <si>
    <t>Patnam</t>
  </si>
  <si>
    <t>Amadaguru</t>
  </si>
  <si>
    <t>Nallacheruvu</t>
  </si>
  <si>
    <t>Green row = cases reported and all completed (nothing pending). Zero-reporting / zero-pending rows keep their original colour.</t>
  </si>
  <si>
    <t>No. of Cases Pending</t>
  </si>
  <si>
    <t>TOTAL</t>
  </si>
  <si>
    <t>S.No</t>
  </si>
  <si>
    <t>Station Name</t>
  </si>
  <si>
    <t>Accident Count</t>
  </si>
  <si>
    <t>Cases to be entered in e-DAR</t>
  </si>
  <si>
    <t>Form 1 Count</t>
  </si>
  <si>
    <t>DHARMAVARAM 1 TOWN</t>
  </si>
  <si>
    <t>GORANTLA</t>
  </si>
  <si>
    <t>DHARMAVARAM 2 TOWN</t>
  </si>
  <si>
    <t>MUDIGUBBA</t>
  </si>
  <si>
    <t>CHENNAKOTHAPALLI</t>
  </si>
  <si>
    <t>SOMANDEPALLI</t>
  </si>
  <si>
    <t>PARGI</t>
  </si>
  <si>
    <t>DHARMAVARAM RURAL</t>
  </si>
  <si>
    <t>RODDAM</t>
  </si>
  <si>
    <t>TALUPULA</t>
  </si>
  <si>
    <t>KIA INDUSTRIAL AREA</t>
  </si>
  <si>
    <t>RAMAGIRI</t>
  </si>
  <si>
    <t>TADIMARRI</t>
  </si>
  <si>
    <t>AMARAPURAM</t>
  </si>
  <si>
    <t>NAMBULA PULA KUNTA</t>
  </si>
  <si>
    <t>GANDLAPENTA</t>
  </si>
  <si>
    <t>NALLACHERUVU</t>
  </si>
  <si>
    <t>CHILAMATHURU</t>
  </si>
  <si>
    <t>HINDUPURAM 1 TOWN</t>
  </si>
  <si>
    <t>Lepakshi Police Station</t>
  </si>
  <si>
    <t>PENUKONDA</t>
  </si>
  <si>
    <t>KADIRI TOWN</t>
  </si>
  <si>
    <t>BATHALAPALLI</t>
  </si>
  <si>
    <t>KADIRI RURAL</t>
  </si>
  <si>
    <t>AGALI</t>
  </si>
  <si>
    <t>HINDUPURAM RURAL</t>
  </si>
  <si>
    <t>MADAKASIRA</t>
  </si>
  <si>
    <t>NALLAMADA</t>
  </si>
  <si>
    <t>KANGANAPALLI</t>
  </si>
  <si>
    <t>KOTHACHERUVU</t>
  </si>
  <si>
    <t>PATNAM</t>
  </si>
  <si>
    <t>TANAKALLU</t>
  </si>
  <si>
    <t>PUTTAPARTHY RURAL</t>
  </si>
  <si>
    <t>HINDUPURAM 2 TOWN</t>
  </si>
  <si>
    <t>PUTTAPARTHI URBAN</t>
  </si>
  <si>
    <t>GUDIBANDA</t>
  </si>
  <si>
    <t>OBULADEVARACHERUVU</t>
  </si>
  <si>
    <t>BUKKAPATNAM</t>
  </si>
  <si>
    <t>ROLLA</t>
  </si>
  <si>
    <t>AMADAGURU</t>
  </si>
  <si>
    <t>Note (Claude): filled from the e-DAR data now present in this week's updated proforma. Raw Value = Form1 Count ÷ Cases-to-be-entered × 100; if Accident Count or Cases-to-be-entered is 0 (nothing due this week), Raw Value = 100 as instructed.</t>
  </si>
  <si>
    <t>MARKS</t>
  </si>
  <si>
    <t>Police Station</t>
  </si>
  <si>
    <t>S.NO</t>
  </si>
  <si>
    <t>PS Name</t>
  </si>
  <si>
    <t>No. of Zero FIRs Registered</t>
  </si>
  <si>
    <t>Pending to Transfer</t>
  </si>
  <si>
    <t>No. of Zero FIRs Received</t>
  </si>
  <si>
    <t>STATUS OF CITIZEN PORTAL PENDING PETITIONS  01.01.2026 to Till Date 
 (5% Marks)</t>
  </si>
  <si>
    <t>Total Online Petitions</t>
  </si>
  <si>
    <t>Total Disposal Petitions</t>
  </si>
  <si>
    <t>Total Pending Petitions</t>
  </si>
  <si>
    <t>Pendency</t>
  </si>
  <si>
    <t>Grand Total</t>
  </si>
  <si>
    <t>Total</t>
  </si>
  <si>
    <t>AMADAGURU PS</t>
  </si>
  <si>
    <t>DHARMAVARM II TOWN</t>
  </si>
  <si>
    <t>KANAGANAPALLI PS</t>
  </si>
  <si>
    <t>AGALI PS</t>
  </si>
  <si>
    <t>N.P.KUNTA</t>
  </si>
  <si>
    <t>AMARAPURAM PS</t>
  </si>
  <si>
    <t>BATHALAPALLI PS</t>
  </si>
  <si>
    <t>PUTTAPARTHY URBAN</t>
  </si>
  <si>
    <t>HINDUPUR 2 TOWN</t>
  </si>
  <si>
    <t>MUDIGUBBA PS</t>
  </si>
  <si>
    <t>PARIGI</t>
  </si>
  <si>
    <t>TADIMARRI PS</t>
  </si>
  <si>
    <t>NALLAMADA PS</t>
  </si>
  <si>
    <t>BUKKAPATNAM PS</t>
  </si>
  <si>
    <t>PATNAM PS</t>
  </si>
  <si>
    <t>HINDUPUR 1 TOWN</t>
  </si>
  <si>
    <t>TANAKAL</t>
  </si>
  <si>
    <t>GORANTLA PS</t>
  </si>
  <si>
    <t>KOTHACHERUVU PS</t>
  </si>
  <si>
    <t>RAMAGIRI PS</t>
  </si>
  <si>
    <t>OBULADEVARA CHERUVU PS</t>
  </si>
  <si>
    <t>DHARMAVARAM I TOWN PS</t>
  </si>
  <si>
    <t>KADIRI TOWN PS</t>
  </si>
  <si>
    <t>KADIRI RURAL UGPS</t>
  </si>
  <si>
    <t>HINDUPUR RURAL UGPS</t>
  </si>
  <si>
    <t>DHARMAVARAM RURAL PS</t>
  </si>
  <si>
    <t>LEPAKSHI</t>
  </si>
  <si>
    <t>CHENNEKOTHAPALLI PS</t>
  </si>
  <si>
    <t>S NO</t>
  </si>
  <si>
    <t>Unit Name</t>
  </si>
  <si>
    <t>TotalNo. Of Chargesheets Filed</t>
  </si>
  <si>
    <t>No. of cases eProc created</t>
  </si>
  <si>
    <t>Percentage of Requests Raised</t>
  </si>
  <si>
    <t>UI Pending</t>
  </si>
  <si>
    <t>Completed</t>
  </si>
  <si>
    <t>No of Missing Person Cases in UI</t>
  </si>
  <si>
    <t>No of Vehical Theft Cases in UI</t>
  </si>
  <si>
    <t>No of Accused /NBW/ Suspect /Absconder/ Proclaimed Offender and Surveillance person's Wanted cases / Investgation.</t>
  </si>
  <si>
    <t>TOTAL Pending</t>
  </si>
  <si>
    <t>RAW Value</t>
  </si>
  <si>
    <t>Tanakal PS</t>
  </si>
  <si>
    <t xml:space="preserve">Puttaparthy Rural PS </t>
  </si>
  <si>
    <t>Kadiri Rural U/G PS</t>
  </si>
  <si>
    <t>Somandepalli PS</t>
  </si>
  <si>
    <t>K.G.Palli PS</t>
  </si>
  <si>
    <t>Bathalapalli PS</t>
  </si>
  <si>
    <t>ODC PS</t>
  </si>
  <si>
    <t xml:space="preserve">BKP PS </t>
  </si>
  <si>
    <t>PTP U PS</t>
  </si>
  <si>
    <t>NP Kunta</t>
  </si>
  <si>
    <t>KTC U/G PS</t>
  </si>
  <si>
    <t>Amadaguru PS</t>
  </si>
  <si>
    <t>Chilamathur PS</t>
  </si>
  <si>
    <t>Mudigubba UPS</t>
  </si>
  <si>
    <t>HUP 2 town</t>
  </si>
  <si>
    <t>C.K.Palli PS</t>
  </si>
  <si>
    <t>DMM Rural PS</t>
  </si>
  <si>
    <t>Ramagiri PS</t>
  </si>
  <si>
    <t>Amarapuram PS</t>
  </si>
  <si>
    <t>Nallamada PS</t>
  </si>
  <si>
    <t>HUP R UPS</t>
  </si>
  <si>
    <t>Gorantla UPS</t>
  </si>
  <si>
    <t>DMM I Town PS</t>
  </si>
  <si>
    <t>Roddam PS</t>
  </si>
  <si>
    <t>Penukonda PS</t>
  </si>
  <si>
    <t>Kadiri town PS</t>
  </si>
  <si>
    <t>HDP I Town PS</t>
  </si>
  <si>
    <t>MXR UPS</t>
  </si>
  <si>
    <t>DMM II Town PS</t>
  </si>
  <si>
    <t>Lepakshi PS</t>
  </si>
  <si>
    <t>Parigi PS</t>
  </si>
  <si>
    <t>Gudibanda PS</t>
  </si>
  <si>
    <t>Tadimarri PS</t>
  </si>
  <si>
    <t>Agali PS</t>
  </si>
  <si>
    <t>Rolla PS</t>
  </si>
  <si>
    <t>Patnam PS</t>
  </si>
  <si>
    <t>Gandlapenta PS</t>
  </si>
  <si>
    <t>MEDLEAPR MLC CASES REQUIRED VS GENERATED BETWEEN 01-10-2026 TO 7-10-2026 (5 Marks)</t>
  </si>
  <si>
    <t>Total Cases 
Reported</t>
  </si>
  <si>
    <t>No. of Cases
required MLC</t>
  </si>
  <si>
    <t>MEDLEAPR PME CASES REQUIRED VS GENERATED BETWEEN 01-10-2026 TO 07-10-2026</t>
  </si>
  <si>
    <t>No. of Cases
required PME</t>
  </si>
  <si>
    <t>Station-wise Percentage of DAR Form 1 Submitted (01.10.2026 to 07-10-2026) — filled by Claude from state e-DAR report</t>
  </si>
  <si>
    <t>STATUS OF ZERO FIRs GENERATED BETWEEN 01-07-2024 TO 07-10-2026 - (5% Marks)</t>
  </si>
  <si>
    <t>Pending to Re-Register</t>
  </si>
  <si>
    <t>SRI SATHYA SAI DISTRICTE-Prosecution Done FROM 01-10-2026  TO 07-10-2026  (5 % - Marks)</t>
  </si>
  <si>
    <t>Station name</t>
  </si>
  <si>
    <t>Mobile Traced</t>
  </si>
  <si>
    <t xml:space="preserve">Mobile Recovered </t>
  </si>
  <si>
    <t xml:space="preserve"> Recovery Percentage (01.01.2025 to 07.10.2026)</t>
  </si>
  <si>
    <t>Final Score as on          (01.01.2025 to 07.10.2026)</t>
  </si>
  <si>
    <t>30.0 %</t>
  </si>
  <si>
    <t>0.0 %</t>
  </si>
  <si>
    <t>37.5 %</t>
  </si>
  <si>
    <t>41.2 %</t>
  </si>
  <si>
    <t>52.4 %</t>
  </si>
  <si>
    <t>84.6 %</t>
  </si>
  <si>
    <t>59.9 %</t>
  </si>
  <si>
    <t>66.7 %</t>
  </si>
  <si>
    <t>87.5 %</t>
  </si>
  <si>
    <t>50.0 %</t>
  </si>
  <si>
    <t>27.3 %</t>
  </si>
  <si>
    <t>55.4 %</t>
  </si>
  <si>
    <t>37.8 %</t>
  </si>
  <si>
    <t>66.0 %</t>
  </si>
  <si>
    <t>64.7 %</t>
  </si>
  <si>
    <t>60.2 %</t>
  </si>
  <si>
    <t>33.3 %</t>
  </si>
  <si>
    <t>52.9 %</t>
  </si>
  <si>
    <t>47.4 %</t>
  </si>
  <si>
    <t>75.0 %</t>
  </si>
  <si>
    <t>35.5 %</t>
  </si>
  <si>
    <t>26.7 %</t>
  </si>
  <si>
    <t>45.0 %</t>
  </si>
  <si>
    <t>52.2 %</t>
  </si>
  <si>
    <t>40.0 %</t>
  </si>
  <si>
    <t>36.4 %</t>
  </si>
  <si>
    <t>51.9 %</t>
  </si>
  <si>
    <t>34.4 %</t>
  </si>
  <si>
    <t>55.6 %</t>
  </si>
  <si>
    <t>43.9 %</t>
  </si>
  <si>
    <t>59.3 %</t>
  </si>
  <si>
    <t>38.5 %</t>
  </si>
  <si>
    <t>50.4 %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</si>
</sst>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2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Maiandra GD"/>
      <charset val="1"/>
    </font>
    <font>
      <sz val="12"/>
      <color theme="1"/>
      <name val="Maiandra GD"/>
      <charset val="1"/>
    </font>
    <font>
      <b/>
      <sz val="12"/>
      <color theme="1"/>
      <name val="Maiandra GD"/>
      <charset val="1"/>
    </font>
    <font>
      <i/>
      <sz val="9"/>
      <name val="Maiandra GD"/>
      <charset val="1"/>
    </font>
    <font>
      <b/>
      <sz val="11"/>
      <color rgb="FF000000"/>
      <name val="Maiandra GD"/>
      <charset val="1"/>
    </font>
    <font>
      <b/>
      <sz val="9"/>
      <color rgb="FFFFFFFF"/>
      <name val="Maiandra GD"/>
      <charset val="1"/>
    </font>
    <font>
      <b/>
      <sz val="11"/>
      <name val="Maiandra GD"/>
      <charset val="1"/>
    </font>
    <font>
      <sz val="9"/>
      <name val="Maiandra GD"/>
      <charset val="1"/>
    </font>
    <font>
      <sz val="11"/>
      <name val="Maiandra GD"/>
      <charset val="1"/>
    </font>
    <font>
      <i/>
      <sz val="8"/>
      <color rgb="FFCC0000"/>
      <name val="Maiandra GD"/>
      <charset val="1"/>
    </font>
    <font>
      <sz val="10"/>
      <name val="Arial"/>
      <family val="2"/>
    </font>
    <font>
      <sz val="12"/>
      <color theme="1"/>
      <name val="Maiandra GD"/>
      <family val="2"/>
      <charset val="1"/>
    </font>
    <font>
      <sz val="12"/>
      <color rgb="FF000000"/>
      <name val="Maiandra GD"/>
      <family val="2"/>
      <charset val="1"/>
    </font>
    <font>
      <sz val="12"/>
      <name val="Maiandra GD"/>
      <family val="2"/>
      <charset val="1"/>
    </font>
    <font>
      <sz val="11"/>
      <color theme="1"/>
      <name val="Calibri"/>
      <family val="2"/>
      <charset val="1"/>
    </font>
    <font>
      <b/>
      <sz val="9"/>
      <color rgb="FFFFFFFF"/>
      <name val="Maiandra GD"/>
      <family val="2"/>
    </font>
    <font>
      <sz val="9"/>
      <color theme="1"/>
      <name val="Maiandra GD"/>
      <family val="2"/>
    </font>
    <font>
      <sz val="9"/>
      <color rgb="FF000000"/>
      <name val="Maiandra GD"/>
      <family val="2"/>
    </font>
    <font>
      <sz val="9"/>
      <color theme="1"/>
      <name val="Calibri"/>
      <family val="2"/>
      <charset val="1"/>
    </font>
    <font>
      <i/>
      <sz val="9"/>
      <name val="Maiandra GD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Maiandra GD"/>
      <family val="2"/>
    </font>
    <font>
      <sz val="11"/>
      <color rgb="FFFFFFFF"/>
      <name val="Maiandra GD"/>
      <family val="2"/>
    </font>
    <font>
      <sz val="11"/>
      <color theme="1"/>
      <name val="Maiandra GD"/>
      <family val="2"/>
    </font>
    <font>
      <sz val="12"/>
      <color theme="1"/>
      <name val="Maiandra GD"/>
      <family val="2"/>
    </font>
    <font>
      <b/>
      <sz val="12"/>
      <color theme="1"/>
      <name val="Maiandra GD"/>
      <family val="2"/>
    </font>
    <font>
      <b/>
      <sz val="14"/>
      <color rgb="FFFFFFFF"/>
      <name val="Maiandra GD"/>
      <family val="2"/>
    </font>
    <font>
      <b/>
      <sz val="11"/>
      <color theme="1"/>
      <name val="Maiandra GD"/>
      <family val="2"/>
    </font>
    <font>
      <sz val="11"/>
      <color rgb="FF000000"/>
      <name val="Poppins"/>
    </font>
    <font>
      <sz val="11"/>
      <color rgb="FF000000"/>
      <name val="Maiandra GD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Maiandra GD"/>
      <family val="2"/>
    </font>
    <font>
      <b/>
      <sz val="10"/>
      <color theme="1"/>
      <name val="Maiandra GD"/>
      <family val="2"/>
    </font>
    <font>
      <b/>
      <sz val="14"/>
      <color theme="1"/>
      <name val="Maiandra GD"/>
      <family val="2"/>
    </font>
    <font>
      <b/>
      <sz val="14"/>
      <name val="Book Antiqua"/>
      <family val="1"/>
    </font>
    <font>
      <sz val="12"/>
      <name val="Book Antiqua"/>
      <family val="1"/>
    </font>
    <font>
      <b/>
      <sz val="18"/>
      <name val="Book Antiqua"/>
      <family val="1"/>
    </font>
    <font>
      <b/>
      <sz val="18"/>
      <name val="Calibri"/>
      <family val="2"/>
    </font>
    <font>
      <b/>
      <sz val="11"/>
      <color rgb="FFFFFFFF"/>
      <name val="Maiandra GD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8" tint="0.39939573351237523"/>
        <bgColor rgb="FF9DC3E6"/>
      </patternFill>
    </fill>
    <fill>
      <patternFill patternType="solid">
        <fgColor rgb="FFC6EFC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0"/>
        <bgColor rgb="FFF7FCD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8" fillId="0" borderId="0"/>
    <xf numFmtId="0" fontId="18" fillId="0" borderId="0"/>
    <xf numFmtId="0" fontId="3" fillId="0" borderId="0"/>
  </cellStyleXfs>
  <cellXfs count="136"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7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/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4" fontId="0" fillId="0" borderId="0" xfId="0" applyNumberFormat="1" applyAlignment="1">
      <alignment horizontal="center" vertical="center"/>
    </xf>
    <xf numFmtId="0" fontId="4" fillId="0" borderId="0" xfId="0" applyFont="1"/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2" fontId="4" fillId="0" borderId="0" xfId="0" applyNumberFormat="1" applyFont="1"/>
    <xf numFmtId="1" fontId="0" fillId="0" borderId="0" xfId="0" applyNumberFormat="1"/>
    <xf numFmtId="0" fontId="4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/>
    <xf numFmtId="0" fontId="0" fillId="0" borderId="1" xfId="0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wrapText="1"/>
    </xf>
    <xf numFmtId="0" fontId="26" fillId="7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9" fillId="0" borderId="1" xfId="0" applyFont="1" applyBorder="1" applyAlignment="1">
      <alignment horizontal="center" wrapText="1"/>
    </xf>
    <xf numFmtId="0" fontId="28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29" fillId="6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wrapText="1"/>
    </xf>
    <xf numFmtId="0" fontId="30" fillId="8" borderId="1" xfId="0" applyFont="1" applyFill="1" applyBorder="1" applyAlignment="1">
      <alignment horizontal="center" wrapText="1"/>
    </xf>
    <xf numFmtId="0" fontId="28" fillId="8" borderId="1" xfId="0" applyFont="1" applyFill="1" applyBorder="1" applyAlignment="1">
      <alignment horizontal="center" wrapText="1"/>
    </xf>
    <xf numFmtId="0" fontId="28" fillId="9" borderId="1" xfId="0" applyFont="1" applyFill="1" applyBorder="1" applyAlignment="1">
      <alignment horizontal="center" wrapText="1"/>
    </xf>
    <xf numFmtId="0" fontId="32" fillId="8" borderId="1" xfId="0" applyFont="1" applyFill="1" applyBorder="1" applyAlignment="1">
      <alignment horizontal="center" wrapText="1"/>
    </xf>
    <xf numFmtId="0" fontId="32" fillId="8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33" fillId="0" borderId="1" xfId="0" applyNumberFormat="1" applyFont="1" applyBorder="1" applyAlignment="1">
      <alignment horizontal="center" wrapText="1"/>
    </xf>
    <xf numFmtId="0" fontId="36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 wrapText="1"/>
    </xf>
    <xf numFmtId="164" fontId="19" fillId="3" borderId="1" xfId="0" applyNumberFormat="1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42" fillId="14" borderId="1" xfId="0" applyFont="1" applyFill="1" applyBorder="1" applyAlignment="1">
      <alignment horizontal="center" vertical="center" wrapText="1"/>
    </xf>
    <xf numFmtId="0" fontId="43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4" fillId="14" borderId="1" xfId="0" applyFont="1" applyFill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47" fillId="0" borderId="1" xfId="5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47" fillId="0" borderId="1" xfId="5" applyFont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0" fontId="50" fillId="14" borderId="1" xfId="0" applyFont="1" applyFill="1" applyBorder="1" applyAlignment="1">
      <alignment horizontal="center" vertical="center" wrapText="1"/>
    </xf>
    <xf numFmtId="0" fontId="49" fillId="14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14" borderId="1" xfId="0" applyFont="1" applyFill="1" applyBorder="1" applyAlignment="1">
      <alignment horizontal="center" vertical="center" wrapText="1"/>
    </xf>
    <xf numFmtId="0" fontId="49" fillId="14" borderId="1" xfId="0" applyFont="1" applyFill="1" applyBorder="1" applyAlignment="1">
      <alignment horizontal="left" vertical="center" wrapText="1"/>
    </xf>
    <xf numFmtId="0" fontId="47" fillId="14" borderId="1" xfId="0" applyFont="1" applyFill="1" applyBorder="1" applyAlignment="1">
      <alignment horizontal="center" vertical="center" wrapText="1"/>
    </xf>
    <xf numFmtId="0" fontId="51" fillId="0" borderId="1" xfId="7" applyFont="1" applyBorder="1" applyAlignment="1">
      <alignment horizontal="center" vertical="center" wrapText="1"/>
    </xf>
    <xf numFmtId="0" fontId="48" fillId="0" borderId="1" xfId="7" applyFont="1" applyBorder="1" applyAlignment="1">
      <alignment horizontal="center" vertical="center" wrapText="1"/>
    </xf>
    <xf numFmtId="0" fontId="49" fillId="0" borderId="1" xfId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51" fillId="0" borderId="1" xfId="5" applyFont="1" applyBorder="1" applyAlignment="1">
      <alignment horizontal="center" vertical="center" wrapText="1"/>
    </xf>
    <xf numFmtId="0" fontId="47" fillId="0" borderId="1" xfId="3" applyFont="1" applyBorder="1" applyAlignment="1">
      <alignment horizontal="left" vertical="center" wrapText="1"/>
    </xf>
    <xf numFmtId="0" fontId="47" fillId="0" borderId="1" xfId="3" applyFont="1" applyBorder="1" applyAlignment="1">
      <alignment horizontal="left" vertical="center"/>
    </xf>
    <xf numFmtId="0" fontId="49" fillId="0" borderId="1" xfId="3" applyFont="1" applyBorder="1" applyAlignment="1">
      <alignment horizontal="center" vertical="center" wrapText="1"/>
    </xf>
    <xf numFmtId="0" fontId="50" fillId="0" borderId="1" xfId="3" applyFont="1" applyBorder="1" applyAlignment="1">
      <alignment horizontal="center" vertical="center" wrapText="1"/>
    </xf>
    <xf numFmtId="0" fontId="48" fillId="0" borderId="5" xfId="8" applyFont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1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</cellXfs>
  <cellStyles count="14">
    <cellStyle name="Normal" xfId="0" builtinId="0"/>
    <cellStyle name="Normal 2" xfId="1" xr:uid="{00000000-0005-0000-0000-000006000000}"/>
    <cellStyle name="Normal 2 2" xfId="2" xr:uid="{00000000-0005-0000-0000-000007000000}"/>
    <cellStyle name="Normal 2 3" xfId="3" xr:uid="{00000000-0005-0000-0000-000008000000}"/>
    <cellStyle name="Normal 2 3 2" xfId="4" xr:uid="{00000000-0005-0000-0000-000009000000}"/>
    <cellStyle name="Normal 3" xfId="5" xr:uid="{00000000-0005-0000-0000-00000A000000}"/>
    <cellStyle name="Normal 3 2" xfId="6" xr:uid="{00000000-0005-0000-0000-00000B000000}"/>
    <cellStyle name="Normal 4" xfId="7" xr:uid="{00000000-0005-0000-0000-00000C000000}"/>
    <cellStyle name="Normal 4 2" xfId="8" xr:uid="{00000000-0005-0000-0000-00000D000000}"/>
    <cellStyle name="Normal 4 3" xfId="9" xr:uid="{00000000-0005-0000-0000-00000E000000}"/>
    <cellStyle name="Normal 4 4" xfId="10" xr:uid="{00000000-0005-0000-0000-00000F000000}"/>
    <cellStyle name="Normal 5" xfId="11" xr:uid="{00000000-0005-0000-0000-000010000000}"/>
    <cellStyle name="Normal 6" xfId="12" xr:uid="{00000000-0005-0000-0000-000011000000}"/>
    <cellStyle name="Normal 7" xfId="13" xr:uid="{00000000-0005-0000-0000-000012000000}"/>
  </cellStyles>
  <dxfs count="13"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BB89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BB89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C6EFCE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FBE5D6"/>
      <rgbColor rgb="FFD4FCBE"/>
      <rgbColor rgb="FFFFE699"/>
      <rgbColor rgb="FF9DC3E6"/>
      <rgbColor rgb="FFFBB89D"/>
      <rgbColor rgb="FFA9D18E"/>
      <rgbColor rgb="FFF8CBAD"/>
      <rgbColor rgb="FF3366FF"/>
      <rgbColor rgb="FF33CCCC"/>
      <rgbColor rgb="FF92D050"/>
      <rgbColor rgb="FFFFD966"/>
      <rgbColor rgb="FFFF9900"/>
      <rgbColor rgb="FFFF6600"/>
      <rgbColor rgb="FF566378"/>
      <rgbColor rgb="FF5B9BD5"/>
      <rgbColor rgb="FF1F3864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9D18E"/>
  </sheetPr>
  <dimension ref="A1:H45"/>
  <sheetViews>
    <sheetView topLeftCell="A20" zoomScaleNormal="100" workbookViewId="0">
      <selection activeCell="L11" sqref="L11"/>
    </sheetView>
  </sheetViews>
  <sheetFormatPr defaultColWidth="8.6640625" defaultRowHeight="14.4" x14ac:dyDescent="0.3"/>
  <cols>
    <col min="1" max="1" width="4.6640625" style="2" customWidth="1"/>
    <col min="2" max="2" width="24.44140625" style="2" customWidth="1"/>
    <col min="3" max="5" width="11.6640625" style="2" customWidth="1"/>
    <col min="6" max="6" width="14.5546875" style="2" customWidth="1"/>
    <col min="7" max="8" width="9.88671875" style="2" customWidth="1"/>
    <col min="9" max="16384" width="8.6640625" style="2"/>
  </cols>
  <sheetData>
    <row r="1" spans="1:8" ht="31.2" customHeight="1" x14ac:dyDescent="0.3">
      <c r="A1" s="122" t="s">
        <v>184</v>
      </c>
      <c r="B1" s="122"/>
      <c r="C1" s="122"/>
      <c r="D1" s="122"/>
      <c r="E1" s="122"/>
      <c r="F1" s="122"/>
      <c r="G1" s="122"/>
      <c r="H1" s="122"/>
    </row>
    <row r="2" spans="1:8" ht="70.5" customHeight="1" x14ac:dyDescent="0.3">
      <c r="A2" s="45" t="s">
        <v>135</v>
      </c>
      <c r="B2" s="46" t="s">
        <v>0</v>
      </c>
      <c r="C2" s="46" t="s">
        <v>185</v>
      </c>
      <c r="D2" s="46" t="s">
        <v>186</v>
      </c>
      <c r="E2" s="46" t="s">
        <v>45</v>
      </c>
      <c r="F2" s="46" t="s">
        <v>1</v>
      </c>
      <c r="G2" s="46" t="s">
        <v>2</v>
      </c>
      <c r="H2" s="46" t="s">
        <v>3</v>
      </c>
    </row>
    <row r="3" spans="1:8" ht="15" customHeight="1" x14ac:dyDescent="0.3">
      <c r="A3" s="47">
        <v>1</v>
      </c>
      <c r="B3" s="47" t="s">
        <v>7</v>
      </c>
      <c r="C3" s="48">
        <v>1</v>
      </c>
      <c r="D3" s="48">
        <v>1</v>
      </c>
      <c r="E3" s="49"/>
      <c r="F3" s="50">
        <v>100</v>
      </c>
      <c r="G3" s="50">
        <v>100</v>
      </c>
      <c r="H3" s="47">
        <v>5</v>
      </c>
    </row>
    <row r="4" spans="1:8" ht="15" customHeight="1" x14ac:dyDescent="0.3">
      <c r="A4" s="47">
        <v>2</v>
      </c>
      <c r="B4" s="47" t="s">
        <v>13</v>
      </c>
      <c r="C4" s="48">
        <v>4</v>
      </c>
      <c r="D4" s="48">
        <v>4</v>
      </c>
      <c r="E4" s="49"/>
      <c r="F4" s="50">
        <v>100</v>
      </c>
      <c r="G4" s="50">
        <v>100</v>
      </c>
      <c r="H4" s="47">
        <v>5</v>
      </c>
    </row>
    <row r="5" spans="1:8" ht="15" customHeight="1" x14ac:dyDescent="0.3">
      <c r="A5" s="47">
        <v>3</v>
      </c>
      <c r="B5" s="47" t="s">
        <v>34</v>
      </c>
      <c r="C5" s="48">
        <v>1</v>
      </c>
      <c r="D5" s="48">
        <v>1</v>
      </c>
      <c r="E5" s="47"/>
      <c r="F5" s="50">
        <v>100</v>
      </c>
      <c r="G5" s="50">
        <v>100</v>
      </c>
      <c r="H5" s="47">
        <v>5</v>
      </c>
    </row>
    <row r="6" spans="1:8" ht="15" customHeight="1" x14ac:dyDescent="0.3">
      <c r="A6" s="47">
        <v>4</v>
      </c>
      <c r="B6" s="47" t="s">
        <v>5</v>
      </c>
      <c r="C6" s="48">
        <v>8</v>
      </c>
      <c r="D6" s="48">
        <v>8</v>
      </c>
      <c r="E6" s="49"/>
      <c r="F6" s="50">
        <v>100</v>
      </c>
      <c r="G6" s="50">
        <v>100</v>
      </c>
      <c r="H6" s="47">
        <v>5</v>
      </c>
    </row>
    <row r="7" spans="1:8" ht="15" customHeight="1" x14ac:dyDescent="0.3">
      <c r="A7" s="51">
        <v>5</v>
      </c>
      <c r="B7" s="51" t="s">
        <v>6</v>
      </c>
      <c r="C7" s="52">
        <v>1</v>
      </c>
      <c r="D7" s="52">
        <v>1</v>
      </c>
      <c r="E7" s="53"/>
      <c r="F7" s="54">
        <v>100</v>
      </c>
      <c r="G7" s="54">
        <v>100</v>
      </c>
      <c r="H7" s="51">
        <v>5</v>
      </c>
    </row>
    <row r="8" spans="1:8" ht="15" customHeight="1" x14ac:dyDescent="0.3">
      <c r="A8" s="47">
        <v>6</v>
      </c>
      <c r="B8" s="47" t="s">
        <v>8</v>
      </c>
      <c r="C8" s="48">
        <v>4</v>
      </c>
      <c r="D8" s="48">
        <v>4</v>
      </c>
      <c r="E8" s="49"/>
      <c r="F8" s="50">
        <v>100</v>
      </c>
      <c r="G8" s="50">
        <v>100</v>
      </c>
      <c r="H8" s="47">
        <v>5</v>
      </c>
    </row>
    <row r="9" spans="1:8" ht="15" customHeight="1" x14ac:dyDescent="0.3">
      <c r="A9" s="47">
        <v>7</v>
      </c>
      <c r="B9" s="47" t="s">
        <v>9</v>
      </c>
      <c r="C9" s="48"/>
      <c r="D9" s="48"/>
      <c r="E9" s="49"/>
      <c r="F9" s="50">
        <v>100</v>
      </c>
      <c r="G9" s="50">
        <v>100</v>
      </c>
      <c r="H9" s="47">
        <v>5</v>
      </c>
    </row>
    <row r="10" spans="1:8" ht="15" customHeight="1" x14ac:dyDescent="0.3">
      <c r="A10" s="47">
        <v>8</v>
      </c>
      <c r="B10" s="47" t="s">
        <v>10</v>
      </c>
      <c r="C10" s="48"/>
      <c r="D10" s="48"/>
      <c r="E10" s="49"/>
      <c r="F10" s="50">
        <v>100</v>
      </c>
      <c r="G10" s="50">
        <v>100</v>
      </c>
      <c r="H10" s="47">
        <v>5</v>
      </c>
    </row>
    <row r="11" spans="1:8" ht="15" customHeight="1" x14ac:dyDescent="0.3">
      <c r="A11" s="51">
        <v>9</v>
      </c>
      <c r="B11" s="51" t="s">
        <v>11</v>
      </c>
      <c r="C11" s="52">
        <v>3</v>
      </c>
      <c r="D11" s="52">
        <v>3</v>
      </c>
      <c r="E11" s="53"/>
      <c r="F11" s="54">
        <v>100</v>
      </c>
      <c r="G11" s="54">
        <v>100</v>
      </c>
      <c r="H11" s="51">
        <v>5</v>
      </c>
    </row>
    <row r="12" spans="1:8" ht="15" customHeight="1" x14ac:dyDescent="0.3">
      <c r="A12" s="47">
        <v>10</v>
      </c>
      <c r="B12" s="47" t="s">
        <v>12</v>
      </c>
      <c r="C12" s="48">
        <v>1</v>
      </c>
      <c r="D12" s="48">
        <v>1</v>
      </c>
      <c r="E12" s="49"/>
      <c r="F12" s="50">
        <v>100</v>
      </c>
      <c r="G12" s="50">
        <v>100</v>
      </c>
      <c r="H12" s="47">
        <v>5</v>
      </c>
    </row>
    <row r="13" spans="1:8" ht="15" customHeight="1" x14ac:dyDescent="0.3">
      <c r="A13" s="51">
        <v>11</v>
      </c>
      <c r="B13" s="51" t="s">
        <v>14</v>
      </c>
      <c r="C13" s="52">
        <v>2</v>
      </c>
      <c r="D13" s="52">
        <v>2</v>
      </c>
      <c r="E13" s="53"/>
      <c r="F13" s="54">
        <v>100</v>
      </c>
      <c r="G13" s="54">
        <v>100</v>
      </c>
      <c r="H13" s="51">
        <v>5</v>
      </c>
    </row>
    <row r="14" spans="1:8" ht="15" customHeight="1" x14ac:dyDescent="0.3">
      <c r="A14" s="51">
        <v>12</v>
      </c>
      <c r="B14" s="51" t="s">
        <v>15</v>
      </c>
      <c r="C14" s="52">
        <v>2</v>
      </c>
      <c r="D14" s="52">
        <v>2</v>
      </c>
      <c r="E14" s="53"/>
      <c r="F14" s="54">
        <v>100</v>
      </c>
      <c r="G14" s="54">
        <v>100</v>
      </c>
      <c r="H14" s="51">
        <v>5</v>
      </c>
    </row>
    <row r="15" spans="1:8" ht="15" customHeight="1" x14ac:dyDescent="0.3">
      <c r="A15" s="47">
        <v>13</v>
      </c>
      <c r="B15" s="47" t="s">
        <v>16</v>
      </c>
      <c r="C15" s="48">
        <v>2</v>
      </c>
      <c r="D15" s="48">
        <v>2</v>
      </c>
      <c r="E15" s="49"/>
      <c r="F15" s="50">
        <v>100</v>
      </c>
      <c r="G15" s="50">
        <v>100</v>
      </c>
      <c r="H15" s="47">
        <v>5</v>
      </c>
    </row>
    <row r="16" spans="1:8" ht="15" customHeight="1" x14ac:dyDescent="0.3">
      <c r="A16" s="47">
        <v>14</v>
      </c>
      <c r="B16" s="47" t="s">
        <v>17</v>
      </c>
      <c r="C16" s="48">
        <v>2</v>
      </c>
      <c r="D16" s="48">
        <v>2</v>
      </c>
      <c r="E16" s="49"/>
      <c r="F16" s="50">
        <v>100</v>
      </c>
      <c r="G16" s="50">
        <v>100</v>
      </c>
      <c r="H16" s="47">
        <v>5</v>
      </c>
    </row>
    <row r="17" spans="1:8" ht="15" customHeight="1" x14ac:dyDescent="0.3">
      <c r="A17" s="47">
        <v>15</v>
      </c>
      <c r="B17" s="47" t="s">
        <v>18</v>
      </c>
      <c r="C17" s="48">
        <v>4</v>
      </c>
      <c r="D17" s="48">
        <v>4</v>
      </c>
      <c r="E17" s="49"/>
      <c r="F17" s="50">
        <v>100</v>
      </c>
      <c r="G17" s="50">
        <v>100</v>
      </c>
      <c r="H17" s="47">
        <v>5</v>
      </c>
    </row>
    <row r="18" spans="1:8" ht="15" customHeight="1" x14ac:dyDescent="0.3">
      <c r="A18" s="51">
        <v>16</v>
      </c>
      <c r="B18" s="51" t="s">
        <v>19</v>
      </c>
      <c r="C18" s="52"/>
      <c r="D18" s="52"/>
      <c r="E18" s="53"/>
      <c r="F18" s="54">
        <v>100</v>
      </c>
      <c r="G18" s="54">
        <v>100</v>
      </c>
      <c r="H18" s="51">
        <v>5</v>
      </c>
    </row>
    <row r="19" spans="1:8" ht="15" customHeight="1" x14ac:dyDescent="0.3">
      <c r="A19" s="47">
        <v>17</v>
      </c>
      <c r="B19" s="47" t="s">
        <v>20</v>
      </c>
      <c r="C19" s="48"/>
      <c r="D19" s="48"/>
      <c r="E19" s="49"/>
      <c r="F19" s="50">
        <v>100</v>
      </c>
      <c r="G19" s="50">
        <v>100</v>
      </c>
      <c r="H19" s="47">
        <v>5</v>
      </c>
    </row>
    <row r="20" spans="1:8" ht="15" customHeight="1" x14ac:dyDescent="0.3">
      <c r="A20" s="47">
        <v>18</v>
      </c>
      <c r="B20" s="47" t="s">
        <v>21</v>
      </c>
      <c r="C20" s="48"/>
      <c r="D20" s="48"/>
      <c r="E20" s="49"/>
      <c r="F20" s="50">
        <v>100</v>
      </c>
      <c r="G20" s="50">
        <v>100</v>
      </c>
      <c r="H20" s="47">
        <v>5</v>
      </c>
    </row>
    <row r="21" spans="1:8" ht="15" customHeight="1" x14ac:dyDescent="0.3">
      <c r="A21" s="47">
        <v>19</v>
      </c>
      <c r="B21" s="47" t="s">
        <v>22</v>
      </c>
      <c r="C21" s="48"/>
      <c r="D21" s="48"/>
      <c r="E21" s="49"/>
      <c r="F21" s="50">
        <v>100</v>
      </c>
      <c r="G21" s="50">
        <v>100</v>
      </c>
      <c r="H21" s="47">
        <v>5</v>
      </c>
    </row>
    <row r="22" spans="1:8" ht="15" customHeight="1" x14ac:dyDescent="0.3">
      <c r="A22" s="47">
        <v>20</v>
      </c>
      <c r="B22" s="47" t="s">
        <v>23</v>
      </c>
      <c r="C22" s="48">
        <v>3</v>
      </c>
      <c r="D22" s="48">
        <v>3</v>
      </c>
      <c r="E22" s="49"/>
      <c r="F22" s="50">
        <v>100</v>
      </c>
      <c r="G22" s="50">
        <v>100</v>
      </c>
      <c r="H22" s="47">
        <v>5</v>
      </c>
    </row>
    <row r="23" spans="1:8" ht="15" customHeight="1" x14ac:dyDescent="0.3">
      <c r="A23" s="47">
        <v>21</v>
      </c>
      <c r="B23" s="47" t="s">
        <v>24</v>
      </c>
      <c r="C23" s="48">
        <v>5</v>
      </c>
      <c r="D23" s="48">
        <v>5</v>
      </c>
      <c r="E23" s="49"/>
      <c r="F23" s="50">
        <v>100</v>
      </c>
      <c r="G23" s="50">
        <v>100</v>
      </c>
      <c r="H23" s="47">
        <v>5</v>
      </c>
    </row>
    <row r="24" spans="1:8" ht="15" customHeight="1" x14ac:dyDescent="0.3">
      <c r="A24" s="51">
        <v>22</v>
      </c>
      <c r="B24" s="51" t="s">
        <v>25</v>
      </c>
      <c r="C24" s="52">
        <v>1</v>
      </c>
      <c r="D24" s="52">
        <v>1</v>
      </c>
      <c r="E24" s="53"/>
      <c r="F24" s="54">
        <v>100</v>
      </c>
      <c r="G24" s="54">
        <v>100</v>
      </c>
      <c r="H24" s="51">
        <v>5</v>
      </c>
    </row>
    <row r="25" spans="1:8" ht="15" customHeight="1" x14ac:dyDescent="0.3">
      <c r="A25" s="51">
        <v>23</v>
      </c>
      <c r="B25" s="51" t="s">
        <v>26</v>
      </c>
      <c r="C25" s="52"/>
      <c r="D25" s="52"/>
      <c r="E25" s="53"/>
      <c r="F25" s="54">
        <v>100</v>
      </c>
      <c r="G25" s="54">
        <v>100</v>
      </c>
      <c r="H25" s="51">
        <v>5</v>
      </c>
    </row>
    <row r="26" spans="1:8" ht="15" customHeight="1" x14ac:dyDescent="0.3">
      <c r="A26" s="47">
        <v>24</v>
      </c>
      <c r="B26" s="47" t="s">
        <v>27</v>
      </c>
      <c r="C26" s="48"/>
      <c r="D26" s="48"/>
      <c r="E26" s="49"/>
      <c r="F26" s="50">
        <v>100</v>
      </c>
      <c r="G26" s="50">
        <v>100</v>
      </c>
      <c r="H26" s="47">
        <v>5</v>
      </c>
    </row>
    <row r="27" spans="1:8" ht="15" customHeight="1" x14ac:dyDescent="0.3">
      <c r="A27" s="47">
        <v>25</v>
      </c>
      <c r="B27" s="47" t="s">
        <v>28</v>
      </c>
      <c r="C27" s="48">
        <v>1</v>
      </c>
      <c r="D27" s="48">
        <v>1</v>
      </c>
      <c r="E27" s="49"/>
      <c r="F27" s="50">
        <v>100</v>
      </c>
      <c r="G27" s="50">
        <v>100</v>
      </c>
      <c r="H27" s="47">
        <v>5</v>
      </c>
    </row>
    <row r="28" spans="1:8" ht="15" customHeight="1" x14ac:dyDescent="0.3">
      <c r="A28" s="51">
        <v>26</v>
      </c>
      <c r="B28" s="51" t="s">
        <v>29</v>
      </c>
      <c r="C28" s="52">
        <v>1</v>
      </c>
      <c r="D28" s="52">
        <v>1</v>
      </c>
      <c r="E28" s="53"/>
      <c r="F28" s="54">
        <v>100</v>
      </c>
      <c r="G28" s="54">
        <v>100</v>
      </c>
      <c r="H28" s="51">
        <v>5</v>
      </c>
    </row>
    <row r="29" spans="1:8" ht="15" customHeight="1" x14ac:dyDescent="0.3">
      <c r="A29" s="47">
        <v>27</v>
      </c>
      <c r="B29" s="47" t="s">
        <v>30</v>
      </c>
      <c r="C29" s="48"/>
      <c r="D29" s="48"/>
      <c r="E29" s="49"/>
      <c r="F29" s="50">
        <v>100</v>
      </c>
      <c r="G29" s="50">
        <v>100</v>
      </c>
      <c r="H29" s="47">
        <v>5</v>
      </c>
    </row>
    <row r="30" spans="1:8" ht="15" customHeight="1" x14ac:dyDescent="0.3">
      <c r="A30" s="47">
        <v>28</v>
      </c>
      <c r="B30" s="47" t="s">
        <v>31</v>
      </c>
      <c r="C30" s="48">
        <v>5</v>
      </c>
      <c r="D30" s="48">
        <v>5</v>
      </c>
      <c r="E30" s="49"/>
      <c r="F30" s="50">
        <v>100</v>
      </c>
      <c r="G30" s="50">
        <v>100</v>
      </c>
      <c r="H30" s="47">
        <v>5</v>
      </c>
    </row>
    <row r="31" spans="1:8" ht="15" customHeight="1" x14ac:dyDescent="0.3">
      <c r="A31" s="47">
        <v>29</v>
      </c>
      <c r="B31" s="47" t="s">
        <v>32</v>
      </c>
      <c r="C31" s="48"/>
      <c r="D31" s="48"/>
      <c r="E31" s="49"/>
      <c r="F31" s="50">
        <v>100</v>
      </c>
      <c r="G31" s="50">
        <v>100</v>
      </c>
      <c r="H31" s="47">
        <v>5</v>
      </c>
    </row>
    <row r="32" spans="1:8" ht="15" customHeight="1" x14ac:dyDescent="0.3">
      <c r="A32" s="51">
        <v>30</v>
      </c>
      <c r="B32" s="51" t="s">
        <v>33</v>
      </c>
      <c r="C32" s="52">
        <v>1</v>
      </c>
      <c r="D32" s="52">
        <v>1</v>
      </c>
      <c r="E32" s="53"/>
      <c r="F32" s="54">
        <v>100</v>
      </c>
      <c r="G32" s="54">
        <v>100</v>
      </c>
      <c r="H32" s="51">
        <v>5</v>
      </c>
    </row>
    <row r="33" spans="1:8" ht="15" customHeight="1" x14ac:dyDescent="0.3">
      <c r="A33" s="51">
        <v>31</v>
      </c>
      <c r="B33" s="51" t="s">
        <v>35</v>
      </c>
      <c r="C33" s="52">
        <v>1</v>
      </c>
      <c r="D33" s="52">
        <v>1</v>
      </c>
      <c r="E33" s="53"/>
      <c r="F33" s="54">
        <v>100</v>
      </c>
      <c r="G33" s="54">
        <v>100</v>
      </c>
      <c r="H33" s="51">
        <v>5</v>
      </c>
    </row>
    <row r="34" spans="1:8" ht="15" customHeight="1" x14ac:dyDescent="0.3">
      <c r="A34" s="47">
        <v>32</v>
      </c>
      <c r="B34" s="47" t="s">
        <v>4</v>
      </c>
      <c r="C34" s="48"/>
      <c r="D34" s="48"/>
      <c r="E34" s="47"/>
      <c r="F34" s="54">
        <v>100</v>
      </c>
      <c r="G34" s="54">
        <v>100</v>
      </c>
      <c r="H34" s="47">
        <v>2.5</v>
      </c>
    </row>
    <row r="35" spans="1:8" ht="15" customHeight="1" x14ac:dyDescent="0.3">
      <c r="A35" s="47">
        <v>33</v>
      </c>
      <c r="B35" s="47" t="s">
        <v>36</v>
      </c>
      <c r="C35" s="48"/>
      <c r="D35" s="48"/>
      <c r="E35" s="49"/>
      <c r="F35" s="50">
        <v>100</v>
      </c>
      <c r="G35" s="50">
        <v>100</v>
      </c>
      <c r="H35" s="47">
        <v>5</v>
      </c>
    </row>
    <row r="36" spans="1:8" ht="15" customHeight="1" x14ac:dyDescent="0.3">
      <c r="A36" s="47">
        <v>34</v>
      </c>
      <c r="B36" s="47" t="s">
        <v>37</v>
      </c>
      <c r="C36" s="48"/>
      <c r="D36" s="48"/>
      <c r="E36" s="49"/>
      <c r="F36" s="50">
        <v>100</v>
      </c>
      <c r="G36" s="50">
        <v>100</v>
      </c>
      <c r="H36" s="47">
        <v>5</v>
      </c>
    </row>
    <row r="37" spans="1:8" ht="15" customHeight="1" x14ac:dyDescent="0.3">
      <c r="A37" s="51">
        <v>35</v>
      </c>
      <c r="B37" s="51" t="s">
        <v>38</v>
      </c>
      <c r="C37" s="52">
        <v>2</v>
      </c>
      <c r="D37" s="52">
        <v>2</v>
      </c>
      <c r="E37" s="53"/>
      <c r="F37" s="54">
        <v>100</v>
      </c>
      <c r="G37" s="54">
        <v>100</v>
      </c>
      <c r="H37" s="51">
        <v>5</v>
      </c>
    </row>
    <row r="38" spans="1:8" ht="15" customHeight="1" x14ac:dyDescent="0.3">
      <c r="A38" s="51">
        <v>36</v>
      </c>
      <c r="B38" s="51" t="s">
        <v>39</v>
      </c>
      <c r="C38" s="52"/>
      <c r="D38" s="52"/>
      <c r="E38" s="53"/>
      <c r="F38" s="54">
        <v>100</v>
      </c>
      <c r="G38" s="54">
        <v>100</v>
      </c>
      <c r="H38" s="51">
        <v>5</v>
      </c>
    </row>
    <row r="39" spans="1:8" ht="15" customHeight="1" x14ac:dyDescent="0.3">
      <c r="A39" s="51">
        <v>37</v>
      </c>
      <c r="B39" s="51" t="s">
        <v>40</v>
      </c>
      <c r="C39" s="52"/>
      <c r="D39" s="52"/>
      <c r="E39" s="53"/>
      <c r="F39" s="54">
        <v>100</v>
      </c>
      <c r="G39" s="54">
        <v>100</v>
      </c>
      <c r="H39" s="51">
        <v>5</v>
      </c>
    </row>
    <row r="40" spans="1:8" ht="15" customHeight="1" x14ac:dyDescent="0.3">
      <c r="A40" s="47">
        <v>38</v>
      </c>
      <c r="B40" s="47" t="s">
        <v>41</v>
      </c>
      <c r="C40" s="48">
        <v>1</v>
      </c>
      <c r="D40" s="48">
        <v>1</v>
      </c>
      <c r="E40" s="49"/>
      <c r="F40" s="50">
        <v>100</v>
      </c>
      <c r="G40" s="50">
        <v>100</v>
      </c>
      <c r="H40" s="47">
        <v>5</v>
      </c>
    </row>
    <row r="41" spans="1:8" ht="15" customHeight="1" x14ac:dyDescent="0.3">
      <c r="A41" s="51">
        <v>39</v>
      </c>
      <c r="B41" s="51" t="s">
        <v>42</v>
      </c>
      <c r="C41" s="52"/>
      <c r="D41" s="52"/>
      <c r="E41" s="53"/>
      <c r="F41" s="54">
        <v>100</v>
      </c>
      <c r="G41" s="54">
        <v>100</v>
      </c>
      <c r="H41" s="51">
        <v>5</v>
      </c>
    </row>
    <row r="42" spans="1:8" ht="15" customHeight="1" x14ac:dyDescent="0.3">
      <c r="A42" s="47">
        <v>40</v>
      </c>
      <c r="B42" s="47" t="s">
        <v>43</v>
      </c>
      <c r="C42" s="48">
        <v>2</v>
      </c>
      <c r="D42" s="48">
        <v>2</v>
      </c>
      <c r="E42" s="49"/>
      <c r="F42" s="50">
        <v>100</v>
      </c>
      <c r="G42" s="50">
        <v>100</v>
      </c>
      <c r="H42" s="47">
        <v>5</v>
      </c>
    </row>
    <row r="43" spans="1:8" ht="15" customHeight="1" x14ac:dyDescent="0.3">
      <c r="A43" s="55"/>
      <c r="B43" s="56" t="s">
        <v>46</v>
      </c>
      <c r="C43" s="57">
        <f>SUM(C3:C42)</f>
        <v>58</v>
      </c>
      <c r="D43" s="57">
        <f>SUM(D3:D42)</f>
        <v>58</v>
      </c>
      <c r="E43" s="56"/>
      <c r="F43" s="56">
        <v>100</v>
      </c>
      <c r="G43" s="56">
        <v>100</v>
      </c>
      <c r="H43" s="56">
        <v>5</v>
      </c>
    </row>
    <row r="44" spans="1:8" ht="47.25" customHeight="1" x14ac:dyDescent="0.3">
      <c r="G44" s="4"/>
    </row>
    <row r="45" spans="1:8" ht="14.25" customHeight="1" x14ac:dyDescent="0.3">
      <c r="B45" s="5" t="s">
        <v>44</v>
      </c>
      <c r="F45" s="2">
        <f>IF(D45=0,100,IFERROR((D45-IF(E45="",0,E45))/D45*100,100))</f>
        <v>100</v>
      </c>
      <c r="G45" s="4">
        <f>F45</f>
        <v>100</v>
      </c>
    </row>
  </sheetData>
  <mergeCells count="1">
    <mergeCell ref="A1:H1"/>
  </mergeCells>
  <conditionalFormatting sqref="A3:E42">
    <cfRule type="expression" dxfId="12" priority="2">
      <formula>AND($C3&gt;0,$E3=0)</formula>
    </cfRule>
  </conditionalFormatting>
  <conditionalFormatting sqref="F3:F42">
    <cfRule type="cellIs" dxfId="11" priority="3" operator="lessThan">
      <formula>100</formula>
    </cfRule>
  </conditionalFormatting>
  <conditionalFormatting sqref="F3:H42">
    <cfRule type="expression" dxfId="10" priority="4">
      <formula>AND($C3&gt;0,$E3=0)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45"/>
  <sheetViews>
    <sheetView topLeftCell="A18" zoomScaleNormal="100" workbookViewId="0">
      <selection activeCell="L38" sqref="L38"/>
    </sheetView>
  </sheetViews>
  <sheetFormatPr defaultColWidth="8.6640625" defaultRowHeight="14.4" x14ac:dyDescent="0.3"/>
  <cols>
    <col min="1" max="1" width="5.33203125" style="6" customWidth="1"/>
    <col min="2" max="2" width="24.44140625" style="6" customWidth="1"/>
    <col min="3" max="5" width="8.6640625" style="6" customWidth="1"/>
    <col min="6" max="6" width="11.33203125" style="6" customWidth="1"/>
    <col min="7" max="7" width="10.109375" style="6" customWidth="1"/>
    <col min="8" max="16384" width="8.6640625" style="6"/>
  </cols>
  <sheetData>
    <row r="1" spans="1:8" ht="60" customHeight="1" x14ac:dyDescent="0.3">
      <c r="A1" s="123" t="s">
        <v>187</v>
      </c>
      <c r="B1" s="123"/>
      <c r="C1" s="123"/>
      <c r="D1" s="123"/>
      <c r="E1" s="123"/>
      <c r="F1" s="123"/>
      <c r="G1" s="123"/>
      <c r="H1" s="123"/>
    </row>
    <row r="2" spans="1:8" ht="69.75" customHeight="1" x14ac:dyDescent="0.3">
      <c r="A2" s="46" t="s">
        <v>135</v>
      </c>
      <c r="B2" s="46" t="s">
        <v>0</v>
      </c>
      <c r="C2" s="46" t="s">
        <v>185</v>
      </c>
      <c r="D2" s="46" t="s">
        <v>188</v>
      </c>
      <c r="E2" s="46" t="s">
        <v>45</v>
      </c>
      <c r="F2" s="46" t="s">
        <v>1</v>
      </c>
      <c r="G2" s="46" t="s">
        <v>2</v>
      </c>
      <c r="H2" s="46" t="s">
        <v>3</v>
      </c>
    </row>
    <row r="3" spans="1:8" ht="15" customHeight="1" x14ac:dyDescent="0.3">
      <c r="A3" s="51">
        <v>1</v>
      </c>
      <c r="B3" s="51" t="s">
        <v>5</v>
      </c>
      <c r="C3" s="52"/>
      <c r="D3" s="52"/>
      <c r="E3" s="53"/>
      <c r="F3" s="54">
        <v>100</v>
      </c>
      <c r="G3" s="54">
        <v>100</v>
      </c>
      <c r="H3" s="51">
        <v>5</v>
      </c>
    </row>
    <row r="4" spans="1:8" ht="15" customHeight="1" x14ac:dyDescent="0.3">
      <c r="A4" s="51">
        <v>2</v>
      </c>
      <c r="B4" s="51" t="s">
        <v>6</v>
      </c>
      <c r="C4" s="52"/>
      <c r="D4" s="52"/>
      <c r="E4" s="53"/>
      <c r="F4" s="54">
        <v>100</v>
      </c>
      <c r="G4" s="54">
        <v>100</v>
      </c>
      <c r="H4" s="51">
        <v>5</v>
      </c>
    </row>
    <row r="5" spans="1:8" ht="15" customHeight="1" x14ac:dyDescent="0.3">
      <c r="A5" s="51">
        <v>3</v>
      </c>
      <c r="B5" s="51" t="s">
        <v>7</v>
      </c>
      <c r="C5" s="52">
        <v>1</v>
      </c>
      <c r="D5" s="52">
        <v>1</v>
      </c>
      <c r="E5" s="53"/>
      <c r="F5" s="54">
        <v>100</v>
      </c>
      <c r="G5" s="54">
        <v>100</v>
      </c>
      <c r="H5" s="51">
        <v>5</v>
      </c>
    </row>
    <row r="6" spans="1:8" ht="15" customHeight="1" x14ac:dyDescent="0.3">
      <c r="A6" s="47">
        <v>4</v>
      </c>
      <c r="B6" s="47" t="s">
        <v>8</v>
      </c>
      <c r="C6" s="48">
        <v>1</v>
      </c>
      <c r="D6" s="48">
        <v>1</v>
      </c>
      <c r="E6" s="49"/>
      <c r="F6" s="50">
        <v>100</v>
      </c>
      <c r="G6" s="50">
        <v>100</v>
      </c>
      <c r="H6" s="58">
        <v>5</v>
      </c>
    </row>
    <row r="7" spans="1:8" ht="15" customHeight="1" x14ac:dyDescent="0.3">
      <c r="A7" s="51">
        <v>5</v>
      </c>
      <c r="B7" s="51" t="s">
        <v>9</v>
      </c>
      <c r="C7" s="52"/>
      <c r="D7" s="52"/>
      <c r="E7" s="53"/>
      <c r="F7" s="54">
        <v>100</v>
      </c>
      <c r="G7" s="54">
        <v>100</v>
      </c>
      <c r="H7" s="51">
        <v>5</v>
      </c>
    </row>
    <row r="8" spans="1:8" ht="15" customHeight="1" x14ac:dyDescent="0.3">
      <c r="A8" s="51">
        <v>6</v>
      </c>
      <c r="B8" s="51" t="s">
        <v>10</v>
      </c>
      <c r="C8" s="52"/>
      <c r="D8" s="52"/>
      <c r="E8" s="53"/>
      <c r="F8" s="54">
        <v>100</v>
      </c>
      <c r="G8" s="54">
        <v>100</v>
      </c>
      <c r="H8" s="51">
        <v>5</v>
      </c>
    </row>
    <row r="9" spans="1:8" ht="15" customHeight="1" x14ac:dyDescent="0.3">
      <c r="A9" s="51">
        <v>7</v>
      </c>
      <c r="B9" s="51" t="s">
        <v>11</v>
      </c>
      <c r="C9" s="52">
        <v>1</v>
      </c>
      <c r="D9" s="52">
        <v>1</v>
      </c>
      <c r="E9" s="53"/>
      <c r="F9" s="54">
        <v>100</v>
      </c>
      <c r="G9" s="54">
        <v>100</v>
      </c>
      <c r="H9" s="51">
        <v>5</v>
      </c>
    </row>
    <row r="10" spans="1:8" ht="15" customHeight="1" x14ac:dyDescent="0.3">
      <c r="A10" s="47">
        <v>8</v>
      </c>
      <c r="B10" s="47" t="s">
        <v>12</v>
      </c>
      <c r="C10" s="48">
        <v>1</v>
      </c>
      <c r="D10" s="48">
        <v>1</v>
      </c>
      <c r="E10" s="49"/>
      <c r="F10" s="50">
        <v>100</v>
      </c>
      <c r="G10" s="50">
        <v>100</v>
      </c>
      <c r="H10" s="58">
        <v>5</v>
      </c>
    </row>
    <row r="11" spans="1:8" ht="15" customHeight="1" x14ac:dyDescent="0.3">
      <c r="A11" s="51">
        <v>9</v>
      </c>
      <c r="B11" s="51" t="s">
        <v>14</v>
      </c>
      <c r="C11" s="52">
        <v>1</v>
      </c>
      <c r="D11" s="52">
        <v>1</v>
      </c>
      <c r="E11" s="53"/>
      <c r="F11" s="54">
        <v>100</v>
      </c>
      <c r="G11" s="54">
        <v>100</v>
      </c>
      <c r="H11" s="51">
        <v>5</v>
      </c>
    </row>
    <row r="12" spans="1:8" ht="15" customHeight="1" x14ac:dyDescent="0.3">
      <c r="A12" s="51">
        <v>10</v>
      </c>
      <c r="B12" s="51" t="s">
        <v>13</v>
      </c>
      <c r="C12" s="52">
        <v>2</v>
      </c>
      <c r="D12" s="52">
        <v>2</v>
      </c>
      <c r="E12" s="53"/>
      <c r="F12" s="54">
        <v>100</v>
      </c>
      <c r="G12" s="54">
        <v>100</v>
      </c>
      <c r="H12" s="51">
        <v>5</v>
      </c>
    </row>
    <row r="13" spans="1:8" ht="15" customHeight="1" x14ac:dyDescent="0.3">
      <c r="A13" s="51">
        <v>11</v>
      </c>
      <c r="B13" s="51" t="s">
        <v>15</v>
      </c>
      <c r="C13" s="52"/>
      <c r="D13" s="52"/>
      <c r="E13" s="53"/>
      <c r="F13" s="54">
        <v>100</v>
      </c>
      <c r="G13" s="54">
        <v>100</v>
      </c>
      <c r="H13" s="51">
        <v>5</v>
      </c>
    </row>
    <row r="14" spans="1:8" ht="15" customHeight="1" x14ac:dyDescent="0.3">
      <c r="A14" s="51">
        <v>12</v>
      </c>
      <c r="B14" s="51" t="s">
        <v>16</v>
      </c>
      <c r="C14" s="52">
        <v>1</v>
      </c>
      <c r="D14" s="52">
        <v>1</v>
      </c>
      <c r="E14" s="53"/>
      <c r="F14" s="54">
        <v>100</v>
      </c>
      <c r="G14" s="54">
        <v>100</v>
      </c>
      <c r="H14" s="51">
        <v>5</v>
      </c>
    </row>
    <row r="15" spans="1:8" ht="15" customHeight="1" x14ac:dyDescent="0.3">
      <c r="A15" s="51">
        <v>13</v>
      </c>
      <c r="B15" s="51" t="s">
        <v>17</v>
      </c>
      <c r="C15" s="52">
        <v>2</v>
      </c>
      <c r="D15" s="52">
        <v>2</v>
      </c>
      <c r="E15" s="53"/>
      <c r="F15" s="54">
        <v>100</v>
      </c>
      <c r="G15" s="54">
        <v>100</v>
      </c>
      <c r="H15" s="51">
        <v>5</v>
      </c>
    </row>
    <row r="16" spans="1:8" ht="15" customHeight="1" x14ac:dyDescent="0.3">
      <c r="A16" s="47">
        <v>14</v>
      </c>
      <c r="B16" s="47" t="s">
        <v>18</v>
      </c>
      <c r="C16" s="48">
        <v>1</v>
      </c>
      <c r="D16" s="48">
        <v>1</v>
      </c>
      <c r="E16" s="49"/>
      <c r="F16" s="50">
        <v>100</v>
      </c>
      <c r="G16" s="50">
        <v>100</v>
      </c>
      <c r="H16" s="58">
        <v>5</v>
      </c>
    </row>
    <row r="17" spans="1:8" ht="15" customHeight="1" x14ac:dyDescent="0.3">
      <c r="A17" s="51">
        <v>15</v>
      </c>
      <c r="B17" s="51" t="s">
        <v>19</v>
      </c>
      <c r="C17" s="52"/>
      <c r="D17" s="52"/>
      <c r="E17" s="53"/>
      <c r="F17" s="54">
        <v>100</v>
      </c>
      <c r="G17" s="54">
        <v>100</v>
      </c>
      <c r="H17" s="51">
        <v>5</v>
      </c>
    </row>
    <row r="18" spans="1:8" ht="15" customHeight="1" x14ac:dyDescent="0.3">
      <c r="A18" s="51">
        <v>16</v>
      </c>
      <c r="B18" s="51" t="s">
        <v>20</v>
      </c>
      <c r="C18" s="52"/>
      <c r="D18" s="52"/>
      <c r="E18" s="53"/>
      <c r="F18" s="54">
        <v>100</v>
      </c>
      <c r="G18" s="54">
        <v>100</v>
      </c>
      <c r="H18" s="51">
        <v>5</v>
      </c>
    </row>
    <row r="19" spans="1:8" ht="15" customHeight="1" x14ac:dyDescent="0.3">
      <c r="A19" s="51">
        <v>17</v>
      </c>
      <c r="B19" s="51" t="s">
        <v>21</v>
      </c>
      <c r="C19" s="52"/>
      <c r="D19" s="52"/>
      <c r="E19" s="53"/>
      <c r="F19" s="54">
        <v>100</v>
      </c>
      <c r="G19" s="54">
        <v>100</v>
      </c>
      <c r="H19" s="51">
        <v>5</v>
      </c>
    </row>
    <row r="20" spans="1:8" ht="15" customHeight="1" x14ac:dyDescent="0.3">
      <c r="A20" s="47">
        <v>18</v>
      </c>
      <c r="B20" s="47" t="s">
        <v>22</v>
      </c>
      <c r="C20" s="48"/>
      <c r="D20" s="48"/>
      <c r="E20" s="49"/>
      <c r="F20" s="50">
        <v>100</v>
      </c>
      <c r="G20" s="50">
        <v>100</v>
      </c>
      <c r="H20" s="58">
        <v>5</v>
      </c>
    </row>
    <row r="21" spans="1:8" ht="15" customHeight="1" x14ac:dyDescent="0.3">
      <c r="A21" s="47">
        <v>19</v>
      </c>
      <c r="B21" s="47" t="s">
        <v>23</v>
      </c>
      <c r="C21" s="48">
        <v>2</v>
      </c>
      <c r="D21" s="48">
        <v>2</v>
      </c>
      <c r="E21" s="49"/>
      <c r="F21" s="50">
        <v>100</v>
      </c>
      <c r="G21" s="50">
        <v>100</v>
      </c>
      <c r="H21" s="58">
        <v>5</v>
      </c>
    </row>
    <row r="22" spans="1:8" ht="15" customHeight="1" x14ac:dyDescent="0.3">
      <c r="A22" s="47">
        <v>20</v>
      </c>
      <c r="B22" s="47" t="s">
        <v>24</v>
      </c>
      <c r="C22" s="48">
        <v>2</v>
      </c>
      <c r="D22" s="48">
        <v>2</v>
      </c>
      <c r="E22" s="49"/>
      <c r="F22" s="50">
        <v>100</v>
      </c>
      <c r="G22" s="50">
        <v>100</v>
      </c>
      <c r="H22" s="58">
        <v>5</v>
      </c>
    </row>
    <row r="23" spans="1:8" ht="15" customHeight="1" x14ac:dyDescent="0.3">
      <c r="A23" s="51">
        <v>21</v>
      </c>
      <c r="B23" s="51" t="s">
        <v>25</v>
      </c>
      <c r="C23" s="52">
        <v>1</v>
      </c>
      <c r="D23" s="52">
        <v>1</v>
      </c>
      <c r="E23" s="53"/>
      <c r="F23" s="54">
        <v>100</v>
      </c>
      <c r="G23" s="54">
        <v>100</v>
      </c>
      <c r="H23" s="51">
        <v>5</v>
      </c>
    </row>
    <row r="24" spans="1:8" ht="15" customHeight="1" x14ac:dyDescent="0.3">
      <c r="A24" s="51">
        <v>22</v>
      </c>
      <c r="B24" s="51" t="s">
        <v>26</v>
      </c>
      <c r="C24" s="52"/>
      <c r="D24" s="52"/>
      <c r="E24" s="53"/>
      <c r="F24" s="54">
        <v>100</v>
      </c>
      <c r="G24" s="54">
        <v>100</v>
      </c>
      <c r="H24" s="51">
        <v>5</v>
      </c>
    </row>
    <row r="25" spans="1:8" ht="15" customHeight="1" x14ac:dyDescent="0.3">
      <c r="A25" s="51">
        <v>23</v>
      </c>
      <c r="B25" s="51" t="s">
        <v>27</v>
      </c>
      <c r="C25" s="52"/>
      <c r="D25" s="52"/>
      <c r="E25" s="53"/>
      <c r="F25" s="54">
        <v>100</v>
      </c>
      <c r="G25" s="54">
        <v>100</v>
      </c>
      <c r="H25" s="51">
        <v>5</v>
      </c>
    </row>
    <row r="26" spans="1:8" ht="15" customHeight="1" x14ac:dyDescent="0.3">
      <c r="A26" s="47">
        <v>24</v>
      </c>
      <c r="B26" s="47" t="s">
        <v>28</v>
      </c>
      <c r="C26" s="48">
        <v>1</v>
      </c>
      <c r="D26" s="48">
        <v>1</v>
      </c>
      <c r="E26" s="49"/>
      <c r="F26" s="50">
        <v>100</v>
      </c>
      <c r="G26" s="50">
        <v>100</v>
      </c>
      <c r="H26" s="58">
        <v>5</v>
      </c>
    </row>
    <row r="27" spans="1:8" ht="15" customHeight="1" x14ac:dyDescent="0.3">
      <c r="A27" s="51">
        <v>25</v>
      </c>
      <c r="B27" s="51" t="s">
        <v>29</v>
      </c>
      <c r="C27" s="52"/>
      <c r="D27" s="52"/>
      <c r="E27" s="53"/>
      <c r="F27" s="54">
        <v>100</v>
      </c>
      <c r="G27" s="54">
        <v>100</v>
      </c>
      <c r="H27" s="51">
        <v>5</v>
      </c>
    </row>
    <row r="28" spans="1:8" ht="15" customHeight="1" x14ac:dyDescent="0.3">
      <c r="A28" s="47">
        <v>26</v>
      </c>
      <c r="B28" s="47" t="s">
        <v>30</v>
      </c>
      <c r="C28" s="48"/>
      <c r="D28" s="48"/>
      <c r="E28" s="49"/>
      <c r="F28" s="50">
        <v>100</v>
      </c>
      <c r="G28" s="50">
        <v>100</v>
      </c>
      <c r="H28" s="58">
        <v>5</v>
      </c>
    </row>
    <row r="29" spans="1:8" ht="15" customHeight="1" x14ac:dyDescent="0.3">
      <c r="A29" s="51">
        <v>27</v>
      </c>
      <c r="B29" s="51" t="s">
        <v>31</v>
      </c>
      <c r="C29" s="52">
        <v>3</v>
      </c>
      <c r="D29" s="52">
        <v>3</v>
      </c>
      <c r="E29" s="53"/>
      <c r="F29" s="54">
        <v>100</v>
      </c>
      <c r="G29" s="54">
        <v>100</v>
      </c>
      <c r="H29" s="51">
        <v>5</v>
      </c>
    </row>
    <row r="30" spans="1:8" ht="15" customHeight="1" x14ac:dyDescent="0.3">
      <c r="A30" s="51">
        <v>28</v>
      </c>
      <c r="B30" s="51" t="s">
        <v>32</v>
      </c>
      <c r="C30" s="52"/>
      <c r="D30" s="52"/>
      <c r="E30" s="53"/>
      <c r="F30" s="54">
        <v>100</v>
      </c>
      <c r="G30" s="54">
        <v>100</v>
      </c>
      <c r="H30" s="51">
        <v>5</v>
      </c>
    </row>
    <row r="31" spans="1:8" ht="15" customHeight="1" x14ac:dyDescent="0.3">
      <c r="A31" s="51">
        <v>29</v>
      </c>
      <c r="B31" s="51" t="s">
        <v>33</v>
      </c>
      <c r="C31" s="52"/>
      <c r="D31" s="52"/>
      <c r="E31" s="53"/>
      <c r="F31" s="54">
        <v>100</v>
      </c>
      <c r="G31" s="54">
        <v>100</v>
      </c>
      <c r="H31" s="51">
        <v>5</v>
      </c>
    </row>
    <row r="32" spans="1:8" ht="15" customHeight="1" x14ac:dyDescent="0.3">
      <c r="A32" s="51">
        <v>30</v>
      </c>
      <c r="B32" s="51" t="s">
        <v>35</v>
      </c>
      <c r="C32" s="52"/>
      <c r="D32" s="52"/>
      <c r="E32" s="53"/>
      <c r="F32" s="54">
        <v>100</v>
      </c>
      <c r="G32" s="54">
        <v>100</v>
      </c>
      <c r="H32" s="51">
        <v>5</v>
      </c>
    </row>
    <row r="33" spans="1:8" ht="15" customHeight="1" x14ac:dyDescent="0.3">
      <c r="A33" s="47">
        <v>31</v>
      </c>
      <c r="B33" s="47" t="s">
        <v>34</v>
      </c>
      <c r="C33" s="48"/>
      <c r="D33" s="48"/>
      <c r="E33" s="49"/>
      <c r="F33" s="50">
        <v>100</v>
      </c>
      <c r="G33" s="50">
        <v>100</v>
      </c>
      <c r="H33" s="58">
        <v>5</v>
      </c>
    </row>
    <row r="34" spans="1:8" ht="15" customHeight="1" x14ac:dyDescent="0.3">
      <c r="A34" s="47">
        <v>32</v>
      </c>
      <c r="B34" s="47" t="s">
        <v>4</v>
      </c>
      <c r="C34" s="48"/>
      <c r="D34" s="48"/>
      <c r="E34" s="49"/>
      <c r="F34" s="50">
        <v>100</v>
      </c>
      <c r="G34" s="50">
        <v>100</v>
      </c>
      <c r="H34" s="58">
        <v>5</v>
      </c>
    </row>
    <row r="35" spans="1:8" ht="15" customHeight="1" x14ac:dyDescent="0.3">
      <c r="A35" s="51">
        <v>33</v>
      </c>
      <c r="B35" s="51" t="s">
        <v>36</v>
      </c>
      <c r="C35" s="52"/>
      <c r="D35" s="52"/>
      <c r="E35" s="53"/>
      <c r="F35" s="54">
        <v>100</v>
      </c>
      <c r="G35" s="54">
        <v>100</v>
      </c>
      <c r="H35" s="51">
        <v>5</v>
      </c>
    </row>
    <row r="36" spans="1:8" ht="15" customHeight="1" x14ac:dyDescent="0.3">
      <c r="A36" s="47">
        <v>34</v>
      </c>
      <c r="B36" s="47" t="s">
        <v>37</v>
      </c>
      <c r="C36" s="48"/>
      <c r="D36" s="48"/>
      <c r="E36" s="49"/>
      <c r="F36" s="50">
        <v>100</v>
      </c>
      <c r="G36" s="50">
        <v>100</v>
      </c>
      <c r="H36" s="58">
        <v>5</v>
      </c>
    </row>
    <row r="37" spans="1:8" ht="15" customHeight="1" x14ac:dyDescent="0.3">
      <c r="A37" s="51">
        <v>35</v>
      </c>
      <c r="B37" s="51" t="s">
        <v>38</v>
      </c>
      <c r="C37" s="52">
        <v>2</v>
      </c>
      <c r="D37" s="52">
        <v>2</v>
      </c>
      <c r="E37" s="53"/>
      <c r="F37" s="54">
        <v>100</v>
      </c>
      <c r="G37" s="54">
        <v>100</v>
      </c>
      <c r="H37" s="51">
        <v>5</v>
      </c>
    </row>
    <row r="38" spans="1:8" ht="15" customHeight="1" x14ac:dyDescent="0.3">
      <c r="A38" s="51">
        <v>36</v>
      </c>
      <c r="B38" s="51" t="s">
        <v>39</v>
      </c>
      <c r="C38" s="52"/>
      <c r="D38" s="52"/>
      <c r="E38" s="53"/>
      <c r="F38" s="54">
        <v>100</v>
      </c>
      <c r="G38" s="54">
        <v>100</v>
      </c>
      <c r="H38" s="51">
        <v>5</v>
      </c>
    </row>
    <row r="39" spans="1:8" ht="15" customHeight="1" x14ac:dyDescent="0.3">
      <c r="A39" s="51">
        <v>37</v>
      </c>
      <c r="B39" s="51" t="s">
        <v>40</v>
      </c>
      <c r="C39" s="52"/>
      <c r="D39" s="52"/>
      <c r="E39" s="53"/>
      <c r="F39" s="54">
        <v>100</v>
      </c>
      <c r="G39" s="54">
        <v>100</v>
      </c>
      <c r="H39" s="51">
        <v>5</v>
      </c>
    </row>
    <row r="40" spans="1:8" ht="15" customHeight="1" x14ac:dyDescent="0.3">
      <c r="A40" s="51">
        <v>38</v>
      </c>
      <c r="B40" s="51" t="s">
        <v>41</v>
      </c>
      <c r="C40" s="52">
        <v>1</v>
      </c>
      <c r="D40" s="52">
        <v>1</v>
      </c>
      <c r="E40" s="53"/>
      <c r="F40" s="54">
        <v>100</v>
      </c>
      <c r="G40" s="54">
        <v>100</v>
      </c>
      <c r="H40" s="51">
        <v>5</v>
      </c>
    </row>
    <row r="41" spans="1:8" ht="15" customHeight="1" x14ac:dyDescent="0.3">
      <c r="A41" s="51">
        <v>39</v>
      </c>
      <c r="B41" s="51" t="s">
        <v>42</v>
      </c>
      <c r="C41" s="52"/>
      <c r="D41" s="52"/>
      <c r="E41" s="53"/>
      <c r="F41" s="54">
        <v>100</v>
      </c>
      <c r="G41" s="54">
        <v>100</v>
      </c>
      <c r="H41" s="51">
        <v>5</v>
      </c>
    </row>
    <row r="42" spans="1:8" ht="15" customHeight="1" x14ac:dyDescent="0.3">
      <c r="A42" s="51">
        <v>40</v>
      </c>
      <c r="B42" s="51" t="s">
        <v>43</v>
      </c>
      <c r="C42" s="52"/>
      <c r="D42" s="52"/>
      <c r="E42" s="53"/>
      <c r="F42" s="54">
        <v>100</v>
      </c>
      <c r="G42" s="54">
        <v>100</v>
      </c>
      <c r="H42" s="51">
        <v>5</v>
      </c>
    </row>
    <row r="43" spans="1:8" s="7" customFormat="1" ht="15" customHeight="1" x14ac:dyDescent="0.3">
      <c r="A43" s="124" t="s">
        <v>46</v>
      </c>
      <c r="B43" s="124"/>
      <c r="C43" s="60">
        <f>SUM(C5:C42)</f>
        <v>23</v>
      </c>
      <c r="D43" s="60">
        <f>SUM(D5:D42)</f>
        <v>23</v>
      </c>
      <c r="E43" s="59">
        <v>0</v>
      </c>
      <c r="F43" s="56">
        <v>100</v>
      </c>
      <c r="G43" s="56">
        <v>100</v>
      </c>
      <c r="H43" s="56">
        <v>5</v>
      </c>
    </row>
    <row r="44" spans="1:8" ht="56.25" customHeight="1" x14ac:dyDescent="0.3">
      <c r="G44" s="4"/>
    </row>
    <row r="45" spans="1:8" ht="14.25" customHeight="1" x14ac:dyDescent="0.3">
      <c r="B45" s="5" t="s">
        <v>44</v>
      </c>
      <c r="F45" s="6">
        <f>IF(D45=0,100,IFERROR((D45-IF(E45="",0,E45))/D45*100,100))</f>
        <v>100</v>
      </c>
      <c r="G45" s="4">
        <f>F45</f>
        <v>100</v>
      </c>
    </row>
  </sheetData>
  <mergeCells count="2">
    <mergeCell ref="A1:H1"/>
    <mergeCell ref="A43:B43"/>
  </mergeCells>
  <conditionalFormatting sqref="A3:E42">
    <cfRule type="expression" dxfId="9" priority="2">
      <formula>AND($C3&gt;0,$E3=0)</formula>
    </cfRule>
  </conditionalFormatting>
  <conditionalFormatting sqref="F3:F42">
    <cfRule type="cellIs" dxfId="8" priority="3" operator="lessThan">
      <formula>100</formula>
    </cfRule>
  </conditionalFormatting>
  <conditionalFormatting sqref="F3:H42">
    <cfRule type="expression" dxfId="7" priority="4">
      <formula>AND($C3&gt;0,$E3=0)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30" zoomScaleNormal="100" workbookViewId="0">
      <selection activeCell="M42" sqref="M42"/>
    </sheetView>
  </sheetViews>
  <sheetFormatPr defaultColWidth="8.6640625" defaultRowHeight="34.200000000000003" customHeight="1" x14ac:dyDescent="0.3"/>
  <cols>
    <col min="1" max="1" width="6.109375" style="7" customWidth="1"/>
    <col min="2" max="2" width="31.109375" style="40" customWidth="1"/>
    <col min="3" max="5" width="9" style="7" customWidth="1"/>
    <col min="6" max="7" width="9" style="37" customWidth="1"/>
    <col min="8" max="16384" width="8.6640625" style="7"/>
  </cols>
  <sheetData>
    <row r="1" spans="1:7" ht="34.200000000000003" customHeight="1" x14ac:dyDescent="0.3">
      <c r="A1" s="125" t="s">
        <v>189</v>
      </c>
      <c r="B1" s="125"/>
      <c r="C1" s="125"/>
      <c r="D1" s="125"/>
      <c r="E1" s="125"/>
      <c r="F1" s="125"/>
      <c r="G1" s="125"/>
    </row>
    <row r="2" spans="1:7" ht="34.200000000000003" customHeight="1" x14ac:dyDescent="0.3">
      <c r="A2" s="1" t="s">
        <v>47</v>
      </c>
      <c r="B2" s="38" t="s">
        <v>48</v>
      </c>
      <c r="C2" s="1" t="s">
        <v>49</v>
      </c>
      <c r="D2" s="1" t="s">
        <v>50</v>
      </c>
      <c r="E2" s="1" t="s">
        <v>51</v>
      </c>
      <c r="F2" s="9" t="s">
        <v>2</v>
      </c>
      <c r="G2" s="9" t="s">
        <v>3</v>
      </c>
    </row>
    <row r="3" spans="1:7" ht="20.399999999999999" x14ac:dyDescent="0.7">
      <c r="A3" s="80">
        <v>1</v>
      </c>
      <c r="B3" s="62" t="s">
        <v>91</v>
      </c>
      <c r="C3" s="61">
        <v>1</v>
      </c>
      <c r="D3" s="61">
        <v>1</v>
      </c>
      <c r="E3" s="61">
        <v>1</v>
      </c>
      <c r="F3" s="81">
        <f t="shared" ref="F3:F42" si="0">IF(OR(C3=0,D3=0),100,IFERROR(E3/D3*100,0))</f>
        <v>100</v>
      </c>
      <c r="G3" s="82">
        <f t="shared" ref="G3:G42" si="1">F3*5/100</f>
        <v>5</v>
      </c>
    </row>
    <row r="4" spans="1:7" ht="20.399999999999999" x14ac:dyDescent="0.7">
      <c r="A4" s="80">
        <v>2</v>
      </c>
      <c r="B4" s="62" t="s">
        <v>54</v>
      </c>
      <c r="C4" s="61">
        <v>1</v>
      </c>
      <c r="D4" s="61">
        <v>1</v>
      </c>
      <c r="E4" s="61"/>
      <c r="F4" s="81">
        <f t="shared" si="0"/>
        <v>0</v>
      </c>
      <c r="G4" s="82">
        <f t="shared" si="1"/>
        <v>0</v>
      </c>
    </row>
    <row r="5" spans="1:7" ht="20.399999999999999" x14ac:dyDescent="0.7">
      <c r="A5" s="80">
        <v>3</v>
      </c>
      <c r="B5" s="62" t="s">
        <v>67</v>
      </c>
      <c r="C5" s="61">
        <v>1</v>
      </c>
      <c r="D5" s="61">
        <v>1</v>
      </c>
      <c r="E5" s="61">
        <v>1</v>
      </c>
      <c r="F5" s="81">
        <f t="shared" si="0"/>
        <v>100</v>
      </c>
      <c r="G5" s="82">
        <f t="shared" si="1"/>
        <v>5</v>
      </c>
    </row>
    <row r="6" spans="1:7" ht="20.399999999999999" x14ac:dyDescent="0.7">
      <c r="A6" s="80">
        <v>4</v>
      </c>
      <c r="B6" s="62" t="s">
        <v>87</v>
      </c>
      <c r="C6" s="61">
        <v>1</v>
      </c>
      <c r="D6" s="61">
        <v>1</v>
      </c>
      <c r="E6" s="61">
        <v>1</v>
      </c>
      <c r="F6" s="81">
        <f t="shared" si="0"/>
        <v>100</v>
      </c>
      <c r="G6" s="82">
        <f t="shared" si="1"/>
        <v>5</v>
      </c>
    </row>
    <row r="7" spans="1:7" ht="20.399999999999999" x14ac:dyDescent="0.7">
      <c r="A7" s="80">
        <v>5</v>
      </c>
      <c r="B7" s="62" t="s">
        <v>90</v>
      </c>
      <c r="C7" s="61">
        <v>1</v>
      </c>
      <c r="D7" s="61">
        <v>1</v>
      </c>
      <c r="E7" s="61">
        <v>1</v>
      </c>
      <c r="F7" s="81">
        <f t="shared" si="0"/>
        <v>100</v>
      </c>
      <c r="G7" s="82">
        <f t="shared" si="1"/>
        <v>5</v>
      </c>
    </row>
    <row r="8" spans="1:7" ht="20.399999999999999" x14ac:dyDescent="0.7">
      <c r="A8" s="80">
        <v>6</v>
      </c>
      <c r="B8" s="62" t="s">
        <v>66</v>
      </c>
      <c r="C8" s="61">
        <v>2</v>
      </c>
      <c r="D8" s="61">
        <v>2</v>
      </c>
      <c r="E8" s="61"/>
      <c r="F8" s="81">
        <f t="shared" si="0"/>
        <v>0</v>
      </c>
      <c r="G8" s="82">
        <f t="shared" si="1"/>
        <v>0</v>
      </c>
    </row>
    <row r="9" spans="1:7" ht="20.399999999999999" x14ac:dyDescent="0.7">
      <c r="A9" s="80">
        <v>7</v>
      </c>
      <c r="B9" s="62" t="s">
        <v>82</v>
      </c>
      <c r="C9" s="61">
        <v>2</v>
      </c>
      <c r="D9" s="61">
        <v>2</v>
      </c>
      <c r="E9" s="61">
        <v>2</v>
      </c>
      <c r="F9" s="81">
        <f t="shared" si="0"/>
        <v>100</v>
      </c>
      <c r="G9" s="82">
        <f t="shared" si="1"/>
        <v>5</v>
      </c>
    </row>
    <row r="10" spans="1:7" ht="20.399999999999999" x14ac:dyDescent="0.7">
      <c r="A10" s="80">
        <v>8</v>
      </c>
      <c r="B10" s="62" t="s">
        <v>64</v>
      </c>
      <c r="C10" s="61">
        <v>2</v>
      </c>
      <c r="D10" s="61">
        <v>2</v>
      </c>
      <c r="E10" s="61"/>
      <c r="F10" s="81">
        <f t="shared" si="0"/>
        <v>0</v>
      </c>
      <c r="G10" s="82">
        <f t="shared" si="1"/>
        <v>0</v>
      </c>
    </row>
    <row r="11" spans="1:7" ht="20.399999999999999" x14ac:dyDescent="0.7">
      <c r="A11" s="80">
        <v>9</v>
      </c>
      <c r="B11" s="62" t="s">
        <v>88</v>
      </c>
      <c r="C11" s="61">
        <v>3</v>
      </c>
      <c r="D11" s="61">
        <v>1</v>
      </c>
      <c r="E11" s="61">
        <v>1</v>
      </c>
      <c r="F11" s="81">
        <f t="shared" si="0"/>
        <v>100</v>
      </c>
      <c r="G11" s="82">
        <f t="shared" si="1"/>
        <v>5</v>
      </c>
    </row>
    <row r="12" spans="1:7" ht="20.399999999999999" x14ac:dyDescent="0.7">
      <c r="A12" s="80">
        <v>10</v>
      </c>
      <c r="B12" s="62" t="s">
        <v>86</v>
      </c>
      <c r="C12" s="61">
        <v>3</v>
      </c>
      <c r="D12" s="61">
        <v>3</v>
      </c>
      <c r="E12" s="61">
        <v>3</v>
      </c>
      <c r="F12" s="81">
        <f t="shared" si="0"/>
        <v>100</v>
      </c>
      <c r="G12" s="82">
        <f t="shared" si="1"/>
        <v>5</v>
      </c>
    </row>
    <row r="13" spans="1:7" ht="20.399999999999999" x14ac:dyDescent="0.7">
      <c r="A13" s="80">
        <v>11</v>
      </c>
      <c r="B13" s="62" t="s">
        <v>63</v>
      </c>
      <c r="C13" s="61">
        <v>3</v>
      </c>
      <c r="D13" s="61">
        <v>3</v>
      </c>
      <c r="E13" s="61"/>
      <c r="F13" s="81">
        <f t="shared" si="0"/>
        <v>0</v>
      </c>
      <c r="G13" s="82">
        <f t="shared" si="1"/>
        <v>0</v>
      </c>
    </row>
    <row r="14" spans="1:7" ht="20.399999999999999" x14ac:dyDescent="0.7">
      <c r="A14" s="80">
        <v>12</v>
      </c>
      <c r="B14" s="62" t="s">
        <v>76</v>
      </c>
      <c r="C14" s="61">
        <v>4</v>
      </c>
      <c r="D14" s="61">
        <v>4</v>
      </c>
      <c r="E14" s="61">
        <v>2</v>
      </c>
      <c r="F14" s="81">
        <f t="shared" si="0"/>
        <v>50</v>
      </c>
      <c r="G14" s="82">
        <f t="shared" si="1"/>
        <v>2.5</v>
      </c>
    </row>
    <row r="15" spans="1:7" ht="20.399999999999999" x14ac:dyDescent="0.7">
      <c r="A15" s="80">
        <v>13</v>
      </c>
      <c r="B15" s="62" t="s">
        <v>81</v>
      </c>
      <c r="C15" s="61">
        <v>4</v>
      </c>
      <c r="D15" s="61">
        <v>4</v>
      </c>
      <c r="E15" s="61">
        <v>2</v>
      </c>
      <c r="F15" s="81">
        <f t="shared" si="0"/>
        <v>50</v>
      </c>
      <c r="G15" s="82">
        <f t="shared" si="1"/>
        <v>2.5</v>
      </c>
    </row>
    <row r="16" spans="1:7" ht="20.399999999999999" x14ac:dyDescent="0.7">
      <c r="A16" s="80">
        <v>14</v>
      </c>
      <c r="B16" s="62" t="s">
        <v>68</v>
      </c>
      <c r="C16" s="61">
        <v>4</v>
      </c>
      <c r="D16" s="61">
        <v>3</v>
      </c>
      <c r="E16" s="61"/>
      <c r="F16" s="81">
        <f t="shared" si="0"/>
        <v>0</v>
      </c>
      <c r="G16" s="82">
        <f t="shared" si="1"/>
        <v>0</v>
      </c>
    </row>
    <row r="17" spans="1:7" ht="20.399999999999999" x14ac:dyDescent="0.7">
      <c r="A17" s="80">
        <v>15</v>
      </c>
      <c r="B17" s="62" t="s">
        <v>65</v>
      </c>
      <c r="C17" s="61">
        <v>5</v>
      </c>
      <c r="D17" s="61">
        <v>4</v>
      </c>
      <c r="E17" s="61"/>
      <c r="F17" s="81">
        <f t="shared" si="0"/>
        <v>0</v>
      </c>
      <c r="G17" s="82">
        <f t="shared" si="1"/>
        <v>0</v>
      </c>
    </row>
    <row r="18" spans="1:7" ht="20.399999999999999" x14ac:dyDescent="0.7">
      <c r="A18" s="80">
        <v>16</v>
      </c>
      <c r="B18" s="62" t="s">
        <v>84</v>
      </c>
      <c r="C18" s="61">
        <v>5</v>
      </c>
      <c r="D18" s="61">
        <v>5</v>
      </c>
      <c r="E18" s="61">
        <v>3</v>
      </c>
      <c r="F18" s="81">
        <f t="shared" si="0"/>
        <v>60</v>
      </c>
      <c r="G18" s="82">
        <f t="shared" si="1"/>
        <v>3</v>
      </c>
    </row>
    <row r="19" spans="1:7" ht="20.399999999999999" x14ac:dyDescent="0.7">
      <c r="A19" s="80">
        <v>17</v>
      </c>
      <c r="B19" s="62" t="s">
        <v>89</v>
      </c>
      <c r="C19" s="61">
        <v>6</v>
      </c>
      <c r="D19" s="61">
        <v>6</v>
      </c>
      <c r="E19" s="61">
        <v>5</v>
      </c>
      <c r="F19" s="81">
        <f t="shared" si="0"/>
        <v>83.333333333333343</v>
      </c>
      <c r="G19" s="82">
        <f t="shared" si="1"/>
        <v>4.1666666666666679</v>
      </c>
    </row>
    <row r="20" spans="1:7" ht="20.399999999999999" x14ac:dyDescent="0.7">
      <c r="A20" s="80">
        <v>18</v>
      </c>
      <c r="B20" s="62" t="s">
        <v>56</v>
      </c>
      <c r="C20" s="61">
        <v>6</v>
      </c>
      <c r="D20" s="61">
        <v>5</v>
      </c>
      <c r="E20" s="61">
        <v>1</v>
      </c>
      <c r="F20" s="81">
        <f t="shared" si="0"/>
        <v>20</v>
      </c>
      <c r="G20" s="82">
        <f t="shared" si="1"/>
        <v>1</v>
      </c>
    </row>
    <row r="21" spans="1:7" ht="20.399999999999999" x14ac:dyDescent="0.7">
      <c r="A21" s="80">
        <v>19</v>
      </c>
      <c r="B21" s="62" t="s">
        <v>60</v>
      </c>
      <c r="C21" s="61">
        <v>6</v>
      </c>
      <c r="D21" s="61">
        <v>6</v>
      </c>
      <c r="E21" s="61">
        <v>1</v>
      </c>
      <c r="F21" s="81">
        <f t="shared" si="0"/>
        <v>16.666666666666664</v>
      </c>
      <c r="G21" s="82">
        <f t="shared" si="1"/>
        <v>0.83333333333333315</v>
      </c>
    </row>
    <row r="22" spans="1:7" ht="20.399999999999999" x14ac:dyDescent="0.7">
      <c r="A22" s="80">
        <v>20</v>
      </c>
      <c r="B22" s="62" t="s">
        <v>85</v>
      </c>
      <c r="C22" s="61">
        <v>7</v>
      </c>
      <c r="D22" s="61">
        <v>4</v>
      </c>
      <c r="E22" s="61">
        <v>3</v>
      </c>
      <c r="F22" s="81">
        <f t="shared" si="0"/>
        <v>75</v>
      </c>
      <c r="G22" s="82">
        <f t="shared" si="1"/>
        <v>3.75</v>
      </c>
    </row>
    <row r="23" spans="1:7" ht="20.399999999999999" x14ac:dyDescent="0.7">
      <c r="A23" s="80">
        <v>21</v>
      </c>
      <c r="B23" s="62" t="s">
        <v>79</v>
      </c>
      <c r="C23" s="61">
        <v>7</v>
      </c>
      <c r="D23" s="61">
        <v>7</v>
      </c>
      <c r="E23" s="61">
        <v>3</v>
      </c>
      <c r="F23" s="81">
        <f t="shared" si="0"/>
        <v>42.857142857142854</v>
      </c>
      <c r="G23" s="82">
        <f t="shared" si="1"/>
        <v>2.1428571428571428</v>
      </c>
    </row>
    <row r="24" spans="1:7" ht="20.399999999999999" x14ac:dyDescent="0.7">
      <c r="A24" s="80">
        <v>22</v>
      </c>
      <c r="B24" s="62" t="s">
        <v>57</v>
      </c>
      <c r="C24" s="61">
        <v>7</v>
      </c>
      <c r="D24" s="61">
        <v>7</v>
      </c>
      <c r="E24" s="61"/>
      <c r="F24" s="81">
        <f t="shared" si="0"/>
        <v>0</v>
      </c>
      <c r="G24" s="82">
        <f t="shared" si="1"/>
        <v>0</v>
      </c>
    </row>
    <row r="25" spans="1:7" ht="20.399999999999999" x14ac:dyDescent="0.7">
      <c r="A25" s="80">
        <v>23</v>
      </c>
      <c r="B25" s="62" t="s">
        <v>61</v>
      </c>
      <c r="C25" s="61">
        <v>7</v>
      </c>
      <c r="D25" s="61">
        <v>5</v>
      </c>
      <c r="E25" s="61"/>
      <c r="F25" s="81">
        <f t="shared" si="0"/>
        <v>0</v>
      </c>
      <c r="G25" s="82">
        <f t="shared" si="1"/>
        <v>0</v>
      </c>
    </row>
    <row r="26" spans="1:7" ht="20.399999999999999" x14ac:dyDescent="0.7">
      <c r="A26" s="80">
        <v>24</v>
      </c>
      <c r="B26" s="62" t="s">
        <v>59</v>
      </c>
      <c r="C26" s="61">
        <v>8</v>
      </c>
      <c r="D26" s="61">
        <v>7</v>
      </c>
      <c r="E26" s="61"/>
      <c r="F26" s="81">
        <f t="shared" si="0"/>
        <v>0</v>
      </c>
      <c r="G26" s="82">
        <f t="shared" si="1"/>
        <v>0</v>
      </c>
    </row>
    <row r="27" spans="1:7" ht="20.399999999999999" x14ac:dyDescent="0.7">
      <c r="A27" s="80">
        <v>25</v>
      </c>
      <c r="B27" s="62" t="s">
        <v>75</v>
      </c>
      <c r="C27" s="61">
        <v>8</v>
      </c>
      <c r="D27" s="61">
        <v>8</v>
      </c>
      <c r="E27" s="61">
        <v>3</v>
      </c>
      <c r="F27" s="81">
        <f t="shared" si="0"/>
        <v>37.5</v>
      </c>
      <c r="G27" s="82">
        <f t="shared" si="1"/>
        <v>1.875</v>
      </c>
    </row>
    <row r="28" spans="1:7" ht="20.399999999999999" x14ac:dyDescent="0.7">
      <c r="A28" s="80">
        <v>26</v>
      </c>
      <c r="B28" s="62" t="s">
        <v>58</v>
      </c>
      <c r="C28" s="61">
        <v>8</v>
      </c>
      <c r="D28" s="61">
        <v>8</v>
      </c>
      <c r="E28" s="61">
        <v>1</v>
      </c>
      <c r="F28" s="81">
        <f t="shared" si="0"/>
        <v>12.5</v>
      </c>
      <c r="G28" s="82">
        <f t="shared" si="1"/>
        <v>0.625</v>
      </c>
    </row>
    <row r="29" spans="1:7" ht="20.399999999999999" x14ac:dyDescent="0.7">
      <c r="A29" s="80">
        <v>27</v>
      </c>
      <c r="B29" s="62" t="s">
        <v>83</v>
      </c>
      <c r="C29" s="61">
        <v>8</v>
      </c>
      <c r="D29" s="61">
        <v>8</v>
      </c>
      <c r="E29" s="61">
        <v>5</v>
      </c>
      <c r="F29" s="81">
        <f t="shared" si="0"/>
        <v>62.5</v>
      </c>
      <c r="G29" s="82">
        <f t="shared" si="1"/>
        <v>3.125</v>
      </c>
    </row>
    <row r="30" spans="1:7" ht="20.399999999999999" x14ac:dyDescent="0.7">
      <c r="A30" s="80">
        <v>28</v>
      </c>
      <c r="B30" s="62" t="s">
        <v>55</v>
      </c>
      <c r="C30" s="61">
        <v>9</v>
      </c>
      <c r="D30" s="61">
        <v>6</v>
      </c>
      <c r="E30" s="61"/>
      <c r="F30" s="81">
        <f t="shared" si="0"/>
        <v>0</v>
      </c>
      <c r="G30" s="82">
        <f t="shared" si="1"/>
        <v>0</v>
      </c>
    </row>
    <row r="31" spans="1:7" ht="20.399999999999999" x14ac:dyDescent="0.7">
      <c r="A31" s="80">
        <v>29</v>
      </c>
      <c r="B31" s="62" t="s">
        <v>52</v>
      </c>
      <c r="C31" s="61">
        <v>10</v>
      </c>
      <c r="D31" s="61">
        <v>7</v>
      </c>
      <c r="E31" s="61"/>
      <c r="F31" s="81">
        <f t="shared" si="0"/>
        <v>0</v>
      </c>
      <c r="G31" s="82">
        <f t="shared" si="1"/>
        <v>0</v>
      </c>
    </row>
    <row r="32" spans="1:7" ht="20.399999999999999" x14ac:dyDescent="0.7">
      <c r="A32" s="80">
        <v>30</v>
      </c>
      <c r="B32" s="62" t="s">
        <v>80</v>
      </c>
      <c r="C32" s="61">
        <v>10</v>
      </c>
      <c r="D32" s="61">
        <v>9</v>
      </c>
      <c r="E32" s="61">
        <v>8</v>
      </c>
      <c r="F32" s="81">
        <f t="shared" si="0"/>
        <v>88.888888888888886</v>
      </c>
      <c r="G32" s="82">
        <f t="shared" si="1"/>
        <v>4.4444444444444446</v>
      </c>
    </row>
    <row r="33" spans="1:7" ht="20.399999999999999" x14ac:dyDescent="0.7">
      <c r="A33" s="80">
        <v>31</v>
      </c>
      <c r="B33" s="62" t="s">
        <v>53</v>
      </c>
      <c r="C33" s="61">
        <v>12</v>
      </c>
      <c r="D33" s="61">
        <v>12</v>
      </c>
      <c r="E33" s="61"/>
      <c r="F33" s="81">
        <f t="shared" si="0"/>
        <v>0</v>
      </c>
      <c r="G33" s="82">
        <f t="shared" si="1"/>
        <v>0</v>
      </c>
    </row>
    <row r="34" spans="1:7" ht="20.399999999999999" x14ac:dyDescent="0.7">
      <c r="A34" s="80">
        <v>32</v>
      </c>
      <c r="B34" s="62" t="s">
        <v>73</v>
      </c>
      <c r="C34" s="61">
        <v>12</v>
      </c>
      <c r="D34" s="61">
        <v>11</v>
      </c>
      <c r="E34" s="61">
        <v>2</v>
      </c>
      <c r="F34" s="81">
        <f t="shared" si="0"/>
        <v>18.181818181818183</v>
      </c>
      <c r="G34" s="82">
        <f t="shared" si="1"/>
        <v>0.90909090909090917</v>
      </c>
    </row>
    <row r="35" spans="1:7" ht="20.399999999999999" x14ac:dyDescent="0.7">
      <c r="A35" s="80">
        <v>33</v>
      </c>
      <c r="B35" s="62" t="s">
        <v>72</v>
      </c>
      <c r="C35" s="61">
        <v>12</v>
      </c>
      <c r="D35" s="61">
        <v>12</v>
      </c>
      <c r="E35" s="61">
        <v>2</v>
      </c>
      <c r="F35" s="81">
        <f t="shared" si="0"/>
        <v>16.666666666666664</v>
      </c>
      <c r="G35" s="82">
        <f t="shared" si="1"/>
        <v>0.83333333333333315</v>
      </c>
    </row>
    <row r="36" spans="1:7" ht="20.399999999999999" x14ac:dyDescent="0.7">
      <c r="A36" s="80">
        <v>34</v>
      </c>
      <c r="B36" s="62" t="s">
        <v>77</v>
      </c>
      <c r="C36" s="61">
        <v>13</v>
      </c>
      <c r="D36" s="61">
        <v>12</v>
      </c>
      <c r="E36" s="61">
        <v>4</v>
      </c>
      <c r="F36" s="81">
        <f t="shared" si="0"/>
        <v>33.333333333333329</v>
      </c>
      <c r="G36" s="82">
        <f t="shared" si="1"/>
        <v>1.6666666666666663</v>
      </c>
    </row>
    <row r="37" spans="1:7" ht="20.399999999999999" x14ac:dyDescent="0.7">
      <c r="A37" s="80">
        <v>35</v>
      </c>
      <c r="B37" s="62" t="s">
        <v>78</v>
      </c>
      <c r="C37" s="61">
        <v>14</v>
      </c>
      <c r="D37" s="61">
        <v>14</v>
      </c>
      <c r="E37" s="61">
        <v>7</v>
      </c>
      <c r="F37" s="81">
        <f t="shared" si="0"/>
        <v>50</v>
      </c>
      <c r="G37" s="82">
        <f t="shared" si="1"/>
        <v>2.5</v>
      </c>
    </row>
    <row r="38" spans="1:7" ht="20.399999999999999" x14ac:dyDescent="0.7">
      <c r="A38" s="80">
        <v>36</v>
      </c>
      <c r="B38" s="62" t="s">
        <v>70</v>
      </c>
      <c r="C38" s="61">
        <v>17</v>
      </c>
      <c r="D38" s="61">
        <v>17</v>
      </c>
      <c r="E38" s="61">
        <v>1</v>
      </c>
      <c r="F38" s="81">
        <f t="shared" si="0"/>
        <v>5.8823529411764701</v>
      </c>
      <c r="G38" s="82">
        <f t="shared" si="1"/>
        <v>0.29411764705882354</v>
      </c>
    </row>
    <row r="39" spans="1:7" ht="20.399999999999999" x14ac:dyDescent="0.7">
      <c r="A39" s="80">
        <v>37</v>
      </c>
      <c r="B39" s="62" t="s">
        <v>71</v>
      </c>
      <c r="C39" s="61">
        <v>18</v>
      </c>
      <c r="D39" s="61">
        <v>14</v>
      </c>
      <c r="E39" s="61">
        <v>1</v>
      </c>
      <c r="F39" s="81">
        <f t="shared" si="0"/>
        <v>7.1428571428571423</v>
      </c>
      <c r="G39" s="82">
        <f t="shared" si="1"/>
        <v>0.3571428571428571</v>
      </c>
    </row>
    <row r="40" spans="1:7" ht="20.399999999999999" x14ac:dyDescent="0.7">
      <c r="A40" s="80">
        <v>38</v>
      </c>
      <c r="B40" s="62" t="s">
        <v>62</v>
      </c>
      <c r="C40" s="61">
        <v>19</v>
      </c>
      <c r="D40" s="61">
        <v>17</v>
      </c>
      <c r="E40" s="61"/>
      <c r="F40" s="81">
        <f t="shared" si="0"/>
        <v>0</v>
      </c>
      <c r="G40" s="82">
        <f t="shared" si="1"/>
        <v>0</v>
      </c>
    </row>
    <row r="41" spans="1:7" ht="20.399999999999999" x14ac:dyDescent="0.7">
      <c r="A41" s="80">
        <v>39</v>
      </c>
      <c r="B41" s="62" t="s">
        <v>69</v>
      </c>
      <c r="C41" s="61">
        <v>21</v>
      </c>
      <c r="D41" s="61">
        <v>17</v>
      </c>
      <c r="E41" s="61">
        <v>1</v>
      </c>
      <c r="F41" s="81">
        <f t="shared" si="0"/>
        <v>5.8823529411764701</v>
      </c>
      <c r="G41" s="82">
        <f t="shared" si="1"/>
        <v>0.29411764705882354</v>
      </c>
    </row>
    <row r="42" spans="1:7" ht="20.399999999999999" x14ac:dyDescent="0.7">
      <c r="A42" s="80">
        <v>40</v>
      </c>
      <c r="B42" s="62" t="s">
        <v>74</v>
      </c>
      <c r="C42" s="61">
        <v>25</v>
      </c>
      <c r="D42" s="61">
        <v>22</v>
      </c>
      <c r="E42" s="61">
        <v>5</v>
      </c>
      <c r="F42" s="81">
        <f t="shared" si="0"/>
        <v>22.727272727272727</v>
      </c>
      <c r="G42" s="82">
        <f t="shared" si="1"/>
        <v>1.1363636363636362</v>
      </c>
    </row>
    <row r="43" spans="1:7" ht="34.200000000000003" customHeight="1" x14ac:dyDescent="0.3">
      <c r="A43" s="119"/>
      <c r="B43" s="39"/>
      <c r="C43" s="120">
        <f>SUM(C3:C42)</f>
        <v>312</v>
      </c>
      <c r="D43" s="120">
        <f>SUM(D3:D42)</f>
        <v>279</v>
      </c>
      <c r="E43" s="120">
        <f>SUM(E3:E42)</f>
        <v>70</v>
      </c>
      <c r="F43" s="3"/>
      <c r="G43" s="121"/>
    </row>
    <row r="44" spans="1:7" ht="34.200000000000003" customHeight="1" x14ac:dyDescent="0.3">
      <c r="A44" s="35"/>
      <c r="B44" s="126" t="s">
        <v>92</v>
      </c>
      <c r="C44" s="126"/>
      <c r="D44" s="126"/>
      <c r="E44" s="126"/>
      <c r="F44" s="126"/>
      <c r="G44" s="126"/>
    </row>
    <row r="45" spans="1:7" ht="34.200000000000003" customHeight="1" x14ac:dyDescent="0.3">
      <c r="F45" s="36"/>
    </row>
    <row r="46" spans="1:7" ht="34.200000000000003" customHeight="1" x14ac:dyDescent="0.3">
      <c r="B46" s="41" t="s">
        <v>44</v>
      </c>
      <c r="F46" s="36"/>
    </row>
  </sheetData>
  <mergeCells count="2">
    <mergeCell ref="A1:G1"/>
    <mergeCell ref="B44:G44"/>
  </mergeCells>
  <conditionalFormatting sqref="A3:A42 F3:G42">
    <cfRule type="expression" dxfId="6" priority="1">
      <formula>AND($D3&gt;0,$E3&gt;=$D3)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45"/>
  <sheetViews>
    <sheetView zoomScale="130" zoomScaleNormal="130" workbookViewId="0">
      <pane ySplit="2" topLeftCell="A46" activePane="bottomLeft" state="frozen"/>
      <selection pane="bottomLeft" activeCell="J12" sqref="J12"/>
    </sheetView>
  </sheetViews>
  <sheetFormatPr defaultColWidth="8.6640625" defaultRowHeight="14.4" x14ac:dyDescent="0.3"/>
  <cols>
    <col min="2" max="2" width="23.109375" customWidth="1"/>
    <col min="3" max="8" width="8.109375" customWidth="1"/>
  </cols>
  <sheetData>
    <row r="1" spans="1:8" ht="29.25" customHeight="1" x14ac:dyDescent="0.3">
      <c r="A1" s="127" t="s">
        <v>190</v>
      </c>
      <c r="B1" s="127"/>
      <c r="C1" s="127"/>
      <c r="D1" s="127"/>
      <c r="E1" s="127"/>
      <c r="F1" s="127"/>
      <c r="G1" s="127"/>
      <c r="H1" s="127"/>
    </row>
    <row r="2" spans="1:8" ht="41.25" customHeight="1" x14ac:dyDescent="0.3">
      <c r="A2" s="63" t="s">
        <v>95</v>
      </c>
      <c r="B2" s="63" t="s">
        <v>96</v>
      </c>
      <c r="C2" s="63" t="s">
        <v>97</v>
      </c>
      <c r="D2" s="63" t="s">
        <v>98</v>
      </c>
      <c r="E2" s="63" t="s">
        <v>99</v>
      </c>
      <c r="F2" s="63" t="s">
        <v>191</v>
      </c>
      <c r="G2" s="63" t="s">
        <v>2</v>
      </c>
      <c r="H2" s="64" t="s">
        <v>3</v>
      </c>
    </row>
    <row r="3" spans="1:8" ht="14.25" customHeight="1" x14ac:dyDescent="0.3">
      <c r="A3" s="65">
        <v>1</v>
      </c>
      <c r="B3" s="65" t="s">
        <v>5</v>
      </c>
      <c r="C3" s="44">
        <v>7</v>
      </c>
      <c r="D3" s="44">
        <v>0</v>
      </c>
      <c r="E3" s="44">
        <v>0</v>
      </c>
      <c r="F3" s="44">
        <v>0</v>
      </c>
      <c r="G3" s="44">
        <v>100</v>
      </c>
      <c r="H3" s="44">
        <v>5</v>
      </c>
    </row>
    <row r="4" spans="1:8" ht="14.25" customHeight="1" x14ac:dyDescent="0.3">
      <c r="A4" s="65">
        <v>2</v>
      </c>
      <c r="B4" s="65" t="s">
        <v>25</v>
      </c>
      <c r="C4" s="44">
        <v>7</v>
      </c>
      <c r="D4" s="44">
        <v>0</v>
      </c>
      <c r="E4" s="44">
        <v>0</v>
      </c>
      <c r="F4" s="44">
        <v>0</v>
      </c>
      <c r="G4" s="44">
        <v>100</v>
      </c>
      <c r="H4" s="44">
        <v>5</v>
      </c>
    </row>
    <row r="5" spans="1:8" ht="14.25" customHeight="1" x14ac:dyDescent="0.3">
      <c r="A5" s="65">
        <v>3</v>
      </c>
      <c r="B5" s="65" t="s">
        <v>12</v>
      </c>
      <c r="C5" s="44">
        <v>4</v>
      </c>
      <c r="D5" s="44">
        <v>0</v>
      </c>
      <c r="E5" s="44">
        <v>0</v>
      </c>
      <c r="F5" s="44">
        <v>0</v>
      </c>
      <c r="G5" s="44">
        <v>100</v>
      </c>
      <c r="H5" s="44">
        <v>5</v>
      </c>
    </row>
    <row r="6" spans="1:8" ht="14.25" customHeight="1" x14ac:dyDescent="0.3">
      <c r="A6" s="65">
        <v>4</v>
      </c>
      <c r="B6" s="65" t="s">
        <v>7</v>
      </c>
      <c r="C6" s="44">
        <v>3</v>
      </c>
      <c r="D6" s="44">
        <v>0</v>
      </c>
      <c r="E6" s="44">
        <v>0</v>
      </c>
      <c r="F6" s="44">
        <v>0</v>
      </c>
      <c r="G6" s="44">
        <v>100</v>
      </c>
      <c r="H6" s="44">
        <v>5</v>
      </c>
    </row>
    <row r="7" spans="1:8" ht="14.25" customHeight="1" x14ac:dyDescent="0.3">
      <c r="A7" s="65">
        <v>5</v>
      </c>
      <c r="B7" s="65" t="s">
        <v>11</v>
      </c>
      <c r="C7" s="44">
        <v>2</v>
      </c>
      <c r="D7" s="44">
        <v>0</v>
      </c>
      <c r="E7" s="44">
        <v>0</v>
      </c>
      <c r="F7" s="44">
        <v>0</v>
      </c>
      <c r="G7" s="44">
        <v>100</v>
      </c>
      <c r="H7" s="44">
        <v>5</v>
      </c>
    </row>
    <row r="8" spans="1:8" ht="14.25" customHeight="1" x14ac:dyDescent="0.3">
      <c r="A8" s="65">
        <v>6</v>
      </c>
      <c r="B8" s="65" t="s">
        <v>9</v>
      </c>
      <c r="C8" s="44">
        <v>3</v>
      </c>
      <c r="D8" s="66">
        <v>1</v>
      </c>
      <c r="E8" s="44">
        <v>0</v>
      </c>
      <c r="F8" s="44">
        <v>0</v>
      </c>
      <c r="G8" s="44">
        <v>100</v>
      </c>
      <c r="H8" s="44">
        <v>5</v>
      </c>
    </row>
    <row r="9" spans="1:8" ht="14.25" customHeight="1" x14ac:dyDescent="0.3">
      <c r="A9" s="65">
        <v>7</v>
      </c>
      <c r="B9" s="65" t="s">
        <v>31</v>
      </c>
      <c r="C9" s="44">
        <v>2</v>
      </c>
      <c r="D9" s="44">
        <v>0</v>
      </c>
      <c r="E9" s="44">
        <v>0</v>
      </c>
      <c r="F9" s="44">
        <v>0</v>
      </c>
      <c r="G9" s="44">
        <v>100</v>
      </c>
      <c r="H9" s="44">
        <v>5</v>
      </c>
    </row>
    <row r="10" spans="1:8" ht="14.25" customHeight="1" x14ac:dyDescent="0.3">
      <c r="A10" s="65">
        <v>8</v>
      </c>
      <c r="B10" s="65" t="s">
        <v>6</v>
      </c>
      <c r="C10" s="44">
        <v>1</v>
      </c>
      <c r="D10" s="44">
        <v>0</v>
      </c>
      <c r="E10" s="44">
        <v>0</v>
      </c>
      <c r="F10" s="44">
        <v>0</v>
      </c>
      <c r="G10" s="44">
        <v>100</v>
      </c>
      <c r="H10" s="44">
        <v>5</v>
      </c>
    </row>
    <row r="11" spans="1:8" ht="14.25" customHeight="1" x14ac:dyDescent="0.3">
      <c r="A11" s="65">
        <v>9</v>
      </c>
      <c r="B11" s="65" t="s">
        <v>41</v>
      </c>
      <c r="C11" s="44">
        <v>1</v>
      </c>
      <c r="D11" s="44">
        <v>0</v>
      </c>
      <c r="E11" s="44">
        <v>0</v>
      </c>
      <c r="F11" s="44">
        <v>0</v>
      </c>
      <c r="G11" s="44">
        <v>100</v>
      </c>
      <c r="H11" s="44">
        <v>5</v>
      </c>
    </row>
    <row r="12" spans="1:8" ht="14.25" customHeight="1" x14ac:dyDescent="0.3">
      <c r="A12" s="65">
        <v>10</v>
      </c>
      <c r="B12" s="65" t="s">
        <v>43</v>
      </c>
      <c r="C12" s="44">
        <v>1</v>
      </c>
      <c r="D12" s="44">
        <v>0</v>
      </c>
      <c r="E12" s="44">
        <v>0</v>
      </c>
      <c r="F12" s="44">
        <v>0</v>
      </c>
      <c r="G12" s="44">
        <v>100</v>
      </c>
      <c r="H12" s="44">
        <v>5</v>
      </c>
    </row>
    <row r="13" spans="1:8" ht="14.25" customHeight="1" x14ac:dyDescent="0.3">
      <c r="A13" s="65">
        <v>11</v>
      </c>
      <c r="B13" s="65" t="s">
        <v>37</v>
      </c>
      <c r="C13" s="44">
        <v>1</v>
      </c>
      <c r="D13" s="44">
        <v>0</v>
      </c>
      <c r="E13" s="44">
        <v>0</v>
      </c>
      <c r="F13" s="44">
        <v>0</v>
      </c>
      <c r="G13" s="44">
        <v>100</v>
      </c>
      <c r="H13" s="44">
        <v>5</v>
      </c>
    </row>
    <row r="14" spans="1:8" ht="14.25" customHeight="1" x14ac:dyDescent="0.3">
      <c r="A14" s="65">
        <v>12</v>
      </c>
      <c r="B14" s="65" t="s">
        <v>26</v>
      </c>
      <c r="C14" s="44">
        <v>1</v>
      </c>
      <c r="D14" s="44">
        <v>0</v>
      </c>
      <c r="E14" s="44">
        <v>0</v>
      </c>
      <c r="F14" s="44">
        <v>0</v>
      </c>
      <c r="G14" s="44">
        <v>100</v>
      </c>
      <c r="H14" s="44">
        <v>5</v>
      </c>
    </row>
    <row r="15" spans="1:8" ht="14.25" customHeight="1" x14ac:dyDescent="0.3">
      <c r="A15" s="65">
        <v>13</v>
      </c>
      <c r="B15" s="65" t="s">
        <v>34</v>
      </c>
      <c r="C15" s="44">
        <v>1</v>
      </c>
      <c r="D15" s="44">
        <v>0</v>
      </c>
      <c r="E15" s="44">
        <v>0</v>
      </c>
      <c r="F15" s="44">
        <v>0</v>
      </c>
      <c r="G15" s="44">
        <v>100</v>
      </c>
      <c r="H15" s="44">
        <v>5</v>
      </c>
    </row>
    <row r="16" spans="1:8" ht="14.25" customHeight="1" x14ac:dyDescent="0.3">
      <c r="A16" s="65">
        <v>14</v>
      </c>
      <c r="B16" s="65" t="s">
        <v>35</v>
      </c>
      <c r="C16" s="44">
        <v>1</v>
      </c>
      <c r="D16" s="44">
        <v>0</v>
      </c>
      <c r="E16" s="44">
        <v>0</v>
      </c>
      <c r="F16" s="44">
        <v>0</v>
      </c>
      <c r="G16" s="44">
        <v>100</v>
      </c>
      <c r="H16" s="44">
        <v>5</v>
      </c>
    </row>
    <row r="17" spans="1:8" ht="14.25" customHeight="1" x14ac:dyDescent="0.3">
      <c r="A17" s="65">
        <v>15</v>
      </c>
      <c r="B17" s="65" t="s">
        <v>10</v>
      </c>
      <c r="C17" s="44">
        <v>1</v>
      </c>
      <c r="D17" s="44">
        <v>0</v>
      </c>
      <c r="E17" s="44">
        <v>0</v>
      </c>
      <c r="F17" s="44">
        <v>0</v>
      </c>
      <c r="G17" s="44">
        <v>100</v>
      </c>
      <c r="H17" s="44">
        <v>5</v>
      </c>
    </row>
    <row r="18" spans="1:8" ht="14.25" customHeight="1" x14ac:dyDescent="0.3">
      <c r="A18" s="65">
        <v>16</v>
      </c>
      <c r="B18" s="65" t="s">
        <v>36</v>
      </c>
      <c r="C18" s="44">
        <v>1</v>
      </c>
      <c r="D18" s="44">
        <v>0</v>
      </c>
      <c r="E18" s="44">
        <v>0</v>
      </c>
      <c r="F18" s="44">
        <v>0</v>
      </c>
      <c r="G18" s="44">
        <v>100</v>
      </c>
      <c r="H18" s="44">
        <v>5</v>
      </c>
    </row>
    <row r="19" spans="1:8" ht="14.25" customHeight="1" x14ac:dyDescent="0.3">
      <c r="A19" s="65">
        <v>17</v>
      </c>
      <c r="B19" s="65" t="s">
        <v>13</v>
      </c>
      <c r="C19" s="44">
        <v>1</v>
      </c>
      <c r="D19" s="44">
        <v>0</v>
      </c>
      <c r="E19" s="44">
        <v>0</v>
      </c>
      <c r="F19" s="44">
        <v>0</v>
      </c>
      <c r="G19" s="44">
        <v>100</v>
      </c>
      <c r="H19" s="44">
        <v>5</v>
      </c>
    </row>
    <row r="20" spans="1:8" ht="14.25" customHeight="1" x14ac:dyDescent="0.3">
      <c r="A20" s="65">
        <v>18</v>
      </c>
      <c r="B20" s="65" t="s">
        <v>16</v>
      </c>
      <c r="C20" s="44">
        <v>0</v>
      </c>
      <c r="D20" s="44">
        <v>0</v>
      </c>
      <c r="E20" s="44">
        <v>0</v>
      </c>
      <c r="F20" s="44">
        <v>0</v>
      </c>
      <c r="G20" s="44">
        <v>100</v>
      </c>
      <c r="H20" s="44">
        <v>5</v>
      </c>
    </row>
    <row r="21" spans="1:8" ht="14.25" customHeight="1" x14ac:dyDescent="0.3">
      <c r="A21" s="65">
        <v>19</v>
      </c>
      <c r="B21" s="65" t="s">
        <v>15</v>
      </c>
      <c r="C21" s="44">
        <v>0</v>
      </c>
      <c r="D21" s="44">
        <v>0</v>
      </c>
      <c r="E21" s="44">
        <v>0</v>
      </c>
      <c r="F21" s="44">
        <v>0</v>
      </c>
      <c r="G21" s="44">
        <v>100</v>
      </c>
      <c r="H21" s="44">
        <v>5</v>
      </c>
    </row>
    <row r="22" spans="1:8" ht="14.25" customHeight="1" x14ac:dyDescent="0.3">
      <c r="A22" s="65">
        <v>20</v>
      </c>
      <c r="B22" s="65" t="s">
        <v>14</v>
      </c>
      <c r="C22" s="44">
        <v>0</v>
      </c>
      <c r="D22" s="44">
        <v>0</v>
      </c>
      <c r="E22" s="44">
        <v>0</v>
      </c>
      <c r="F22" s="44">
        <v>0</v>
      </c>
      <c r="G22" s="44">
        <v>100</v>
      </c>
      <c r="H22" s="44">
        <v>5</v>
      </c>
    </row>
    <row r="23" spans="1:8" ht="14.25" customHeight="1" x14ac:dyDescent="0.3">
      <c r="A23" s="65">
        <v>21</v>
      </c>
      <c r="B23" s="65" t="s">
        <v>23</v>
      </c>
      <c r="C23" s="44">
        <v>0</v>
      </c>
      <c r="D23" s="44">
        <v>0</v>
      </c>
      <c r="E23" s="44">
        <v>0</v>
      </c>
      <c r="F23" s="44">
        <v>0</v>
      </c>
      <c r="G23" s="44">
        <v>100</v>
      </c>
      <c r="H23" s="44">
        <v>5</v>
      </c>
    </row>
    <row r="24" spans="1:8" ht="14.25" customHeight="1" x14ac:dyDescent="0.3">
      <c r="A24" s="65">
        <v>22</v>
      </c>
      <c r="B24" s="65" t="s">
        <v>33</v>
      </c>
      <c r="C24" s="44">
        <v>0</v>
      </c>
      <c r="D24" s="44">
        <v>0</v>
      </c>
      <c r="E24" s="44">
        <v>0</v>
      </c>
      <c r="F24" s="44">
        <v>0</v>
      </c>
      <c r="G24" s="44">
        <v>100</v>
      </c>
      <c r="H24" s="44">
        <v>5</v>
      </c>
    </row>
    <row r="25" spans="1:8" ht="14.25" customHeight="1" x14ac:dyDescent="0.3">
      <c r="A25" s="65">
        <v>23</v>
      </c>
      <c r="B25" s="65" t="s">
        <v>19</v>
      </c>
      <c r="C25" s="44">
        <v>0</v>
      </c>
      <c r="D25" s="44">
        <v>0</v>
      </c>
      <c r="E25" s="44">
        <v>0</v>
      </c>
      <c r="F25" s="44">
        <v>0</v>
      </c>
      <c r="G25" s="44">
        <v>100</v>
      </c>
      <c r="H25" s="44">
        <v>5</v>
      </c>
    </row>
    <row r="26" spans="1:8" ht="14.25" customHeight="1" x14ac:dyDescent="0.3">
      <c r="A26" s="65">
        <v>24</v>
      </c>
      <c r="B26" s="65" t="s">
        <v>4</v>
      </c>
      <c r="C26" s="44">
        <v>0</v>
      </c>
      <c r="D26" s="44">
        <v>0</v>
      </c>
      <c r="E26" s="44">
        <v>0</v>
      </c>
      <c r="F26" s="44">
        <v>0</v>
      </c>
      <c r="G26" s="44">
        <v>100</v>
      </c>
      <c r="H26" s="44">
        <v>5</v>
      </c>
    </row>
    <row r="27" spans="1:8" ht="14.25" customHeight="1" x14ac:dyDescent="0.3">
      <c r="A27" s="65">
        <v>25</v>
      </c>
      <c r="B27" s="65" t="s">
        <v>24</v>
      </c>
      <c r="C27" s="44">
        <v>0</v>
      </c>
      <c r="D27" s="44">
        <v>0</v>
      </c>
      <c r="E27" s="44">
        <v>0</v>
      </c>
      <c r="F27" s="44">
        <v>0</v>
      </c>
      <c r="G27" s="44">
        <v>100</v>
      </c>
      <c r="H27" s="44">
        <v>5</v>
      </c>
    </row>
    <row r="28" spans="1:8" ht="14.25" customHeight="1" x14ac:dyDescent="0.3">
      <c r="A28" s="65">
        <v>26</v>
      </c>
      <c r="B28" s="65" t="s">
        <v>29</v>
      </c>
      <c r="C28" s="44">
        <v>0</v>
      </c>
      <c r="D28" s="44">
        <v>0</v>
      </c>
      <c r="E28" s="44">
        <v>0</v>
      </c>
      <c r="F28" s="44">
        <v>0</v>
      </c>
      <c r="G28" s="44">
        <v>100</v>
      </c>
      <c r="H28" s="44">
        <v>5</v>
      </c>
    </row>
    <row r="29" spans="1:8" ht="14.25" customHeight="1" x14ac:dyDescent="0.3">
      <c r="A29" s="65">
        <v>27</v>
      </c>
      <c r="B29" s="65" t="s">
        <v>27</v>
      </c>
      <c r="C29" s="44">
        <v>0</v>
      </c>
      <c r="D29" s="44">
        <v>0</v>
      </c>
      <c r="E29" s="44">
        <v>0</v>
      </c>
      <c r="F29" s="44">
        <v>0</v>
      </c>
      <c r="G29" s="44">
        <v>100</v>
      </c>
      <c r="H29" s="44">
        <v>5</v>
      </c>
    </row>
    <row r="30" spans="1:8" ht="14.25" customHeight="1" x14ac:dyDescent="0.3">
      <c r="A30" s="65">
        <v>28</v>
      </c>
      <c r="B30" s="65" t="s">
        <v>8</v>
      </c>
      <c r="C30" s="44">
        <v>0</v>
      </c>
      <c r="D30" s="44">
        <v>0</v>
      </c>
      <c r="E30" s="44">
        <v>0</v>
      </c>
      <c r="F30" s="44">
        <v>0</v>
      </c>
      <c r="G30" s="44">
        <v>100</v>
      </c>
      <c r="H30" s="44">
        <v>5</v>
      </c>
    </row>
    <row r="31" spans="1:8" ht="14.25" customHeight="1" x14ac:dyDescent="0.3">
      <c r="A31" s="65">
        <v>29</v>
      </c>
      <c r="B31" s="65" t="s">
        <v>28</v>
      </c>
      <c r="C31" s="44">
        <v>0</v>
      </c>
      <c r="D31" s="44">
        <v>0</v>
      </c>
      <c r="E31" s="44">
        <v>0</v>
      </c>
      <c r="F31" s="44">
        <v>0</v>
      </c>
      <c r="G31" s="44">
        <v>100</v>
      </c>
      <c r="H31" s="44">
        <v>5</v>
      </c>
    </row>
    <row r="32" spans="1:8" ht="14.25" customHeight="1" x14ac:dyDescent="0.3">
      <c r="A32" s="65">
        <v>30</v>
      </c>
      <c r="B32" s="65" t="s">
        <v>30</v>
      </c>
      <c r="C32" s="44">
        <v>0</v>
      </c>
      <c r="D32" s="44">
        <v>0</v>
      </c>
      <c r="E32" s="44">
        <v>0</v>
      </c>
      <c r="F32" s="44">
        <v>0</v>
      </c>
      <c r="G32" s="44">
        <v>100</v>
      </c>
      <c r="H32" s="44">
        <v>5</v>
      </c>
    </row>
    <row r="33" spans="1:8" ht="14.25" customHeight="1" x14ac:dyDescent="0.3">
      <c r="A33" s="65">
        <v>31</v>
      </c>
      <c r="B33" s="65" t="s">
        <v>18</v>
      </c>
      <c r="C33" s="44">
        <v>0</v>
      </c>
      <c r="D33" s="44">
        <v>0</v>
      </c>
      <c r="E33" s="44">
        <v>0</v>
      </c>
      <c r="F33" s="44">
        <v>0</v>
      </c>
      <c r="G33" s="44">
        <v>100</v>
      </c>
      <c r="H33" s="44">
        <v>5</v>
      </c>
    </row>
    <row r="34" spans="1:8" ht="14.25" customHeight="1" x14ac:dyDescent="0.3">
      <c r="A34" s="65">
        <v>32</v>
      </c>
      <c r="B34" s="65" t="s">
        <v>40</v>
      </c>
      <c r="C34" s="44">
        <v>0</v>
      </c>
      <c r="D34" s="44">
        <v>0</v>
      </c>
      <c r="E34" s="44">
        <v>0</v>
      </c>
      <c r="F34" s="44">
        <v>0</v>
      </c>
      <c r="G34" s="44">
        <v>100</v>
      </c>
      <c r="H34" s="44">
        <v>5</v>
      </c>
    </row>
    <row r="35" spans="1:8" ht="14.25" customHeight="1" x14ac:dyDescent="0.3">
      <c r="A35" s="65">
        <v>33</v>
      </c>
      <c r="B35" s="65" t="s">
        <v>38</v>
      </c>
      <c r="C35" s="44">
        <v>0</v>
      </c>
      <c r="D35" s="44">
        <v>0</v>
      </c>
      <c r="E35" s="44">
        <v>0</v>
      </c>
      <c r="F35" s="44">
        <v>0</v>
      </c>
      <c r="G35" s="44">
        <v>100</v>
      </c>
      <c r="H35" s="44">
        <v>5</v>
      </c>
    </row>
    <row r="36" spans="1:8" ht="14.25" customHeight="1" x14ac:dyDescent="0.3">
      <c r="A36" s="65">
        <v>34</v>
      </c>
      <c r="B36" s="65" t="s">
        <v>32</v>
      </c>
      <c r="C36" s="44">
        <v>0</v>
      </c>
      <c r="D36" s="44">
        <v>0</v>
      </c>
      <c r="E36" s="44">
        <v>0</v>
      </c>
      <c r="F36" s="44">
        <v>0</v>
      </c>
      <c r="G36" s="44">
        <v>100</v>
      </c>
      <c r="H36" s="44">
        <v>5</v>
      </c>
    </row>
    <row r="37" spans="1:8" ht="14.25" customHeight="1" x14ac:dyDescent="0.3">
      <c r="A37" s="65">
        <v>35</v>
      </c>
      <c r="B37" s="65" t="s">
        <v>39</v>
      </c>
      <c r="C37" s="44">
        <v>0</v>
      </c>
      <c r="D37" s="44">
        <v>0</v>
      </c>
      <c r="E37" s="44">
        <v>0</v>
      </c>
      <c r="F37" s="44">
        <v>0</v>
      </c>
      <c r="G37" s="44">
        <v>100</v>
      </c>
      <c r="H37" s="44">
        <v>5</v>
      </c>
    </row>
    <row r="38" spans="1:8" ht="14.25" customHeight="1" x14ac:dyDescent="0.3">
      <c r="A38" s="65">
        <v>36</v>
      </c>
      <c r="B38" s="65" t="s">
        <v>22</v>
      </c>
      <c r="C38" s="44">
        <v>0</v>
      </c>
      <c r="D38" s="44">
        <v>0</v>
      </c>
      <c r="E38" s="44">
        <v>0</v>
      </c>
      <c r="F38" s="44">
        <v>0</v>
      </c>
      <c r="G38" s="44">
        <v>100</v>
      </c>
      <c r="H38" s="44">
        <v>5</v>
      </c>
    </row>
    <row r="39" spans="1:8" ht="14.25" customHeight="1" x14ac:dyDescent="0.3">
      <c r="A39" s="65">
        <v>37</v>
      </c>
      <c r="B39" s="65" t="s">
        <v>21</v>
      </c>
      <c r="C39" s="44">
        <v>0</v>
      </c>
      <c r="D39" s="44">
        <v>0</v>
      </c>
      <c r="E39" s="44">
        <v>0</v>
      </c>
      <c r="F39" s="44">
        <v>0</v>
      </c>
      <c r="G39" s="44">
        <v>100</v>
      </c>
      <c r="H39" s="44">
        <v>5</v>
      </c>
    </row>
    <row r="40" spans="1:8" ht="14.25" customHeight="1" x14ac:dyDescent="0.3">
      <c r="A40" s="65">
        <v>38</v>
      </c>
      <c r="B40" s="65" t="s">
        <v>42</v>
      </c>
      <c r="C40" s="44">
        <v>0</v>
      </c>
      <c r="D40" s="44">
        <v>0</v>
      </c>
      <c r="E40" s="44">
        <v>0</v>
      </c>
      <c r="F40" s="44">
        <v>0</v>
      </c>
      <c r="G40" s="44">
        <v>100</v>
      </c>
      <c r="H40" s="44">
        <v>5</v>
      </c>
    </row>
    <row r="41" spans="1:8" ht="14.25" customHeight="1" x14ac:dyDescent="0.3">
      <c r="A41" s="65">
        <v>39</v>
      </c>
      <c r="B41" s="65" t="s">
        <v>17</v>
      </c>
      <c r="C41" s="44">
        <v>0</v>
      </c>
      <c r="D41" s="44">
        <v>0</v>
      </c>
      <c r="E41" s="44">
        <v>0</v>
      </c>
      <c r="F41" s="44">
        <v>0</v>
      </c>
      <c r="G41" s="44">
        <v>100</v>
      </c>
      <c r="H41" s="44">
        <v>5</v>
      </c>
    </row>
    <row r="42" spans="1:8" ht="14.25" customHeight="1" x14ac:dyDescent="0.3">
      <c r="A42" s="65">
        <v>40</v>
      </c>
      <c r="B42" s="65" t="s">
        <v>20</v>
      </c>
      <c r="C42" s="44">
        <v>0</v>
      </c>
      <c r="D42" s="44">
        <v>0</v>
      </c>
      <c r="E42" s="44">
        <v>0</v>
      </c>
      <c r="F42" s="44">
        <v>0</v>
      </c>
      <c r="G42" s="44">
        <v>100</v>
      </c>
      <c r="H42" s="44">
        <v>5</v>
      </c>
    </row>
    <row r="43" spans="1:8" ht="14.25" customHeight="1" x14ac:dyDescent="0.3">
      <c r="A43" s="128" t="s">
        <v>46</v>
      </c>
      <c r="B43" s="128"/>
      <c r="C43" s="67">
        <v>38</v>
      </c>
      <c r="D43" s="67">
        <v>1</v>
      </c>
      <c r="E43" s="67">
        <v>0</v>
      </c>
      <c r="F43" s="67">
        <v>0</v>
      </c>
      <c r="G43" s="67">
        <v>100</v>
      </c>
      <c r="H43" s="67">
        <v>5</v>
      </c>
    </row>
    <row r="44" spans="1:8" ht="15" customHeight="1" x14ac:dyDescent="0.3">
      <c r="G44" s="4"/>
    </row>
    <row r="45" spans="1:8" ht="14.25" customHeight="1" x14ac:dyDescent="0.3">
      <c r="B45" s="5" t="s">
        <v>44</v>
      </c>
      <c r="G45" s="4">
        <f>IF(AND(D45=0,F45=0),100,50)</f>
        <v>100</v>
      </c>
    </row>
  </sheetData>
  <mergeCells count="2">
    <mergeCell ref="A1:H1"/>
    <mergeCell ref="A43:B43"/>
  </mergeCells>
  <conditionalFormatting sqref="A3:H42">
    <cfRule type="expression" dxfId="5" priority="2">
      <formula>AND($C3+$E3&gt;0,$D3=0,$F3=0)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45"/>
  <sheetViews>
    <sheetView zoomScaleNormal="100" workbookViewId="0">
      <selection activeCell="L16" sqref="L16"/>
    </sheetView>
  </sheetViews>
  <sheetFormatPr defaultColWidth="8.6640625" defaultRowHeight="14.4" x14ac:dyDescent="0.3"/>
  <cols>
    <col min="1" max="1" width="6" customWidth="1"/>
    <col min="2" max="2" width="22.5546875" customWidth="1"/>
    <col min="3" max="5" width="11.5546875" customWidth="1"/>
    <col min="6" max="6" width="11.5546875" style="14" customWidth="1"/>
    <col min="7" max="7" width="8" style="34" customWidth="1"/>
    <col min="8" max="8" width="8" customWidth="1"/>
    <col min="9" max="26" width="15.109375" customWidth="1"/>
  </cols>
  <sheetData>
    <row r="1" spans="1:8" ht="29.4" customHeight="1" x14ac:dyDescent="0.3">
      <c r="A1" s="129" t="s">
        <v>100</v>
      </c>
      <c r="B1" s="129"/>
      <c r="C1" s="129"/>
      <c r="D1" s="129"/>
      <c r="E1" s="129"/>
      <c r="F1" s="129"/>
      <c r="G1" s="129"/>
      <c r="H1" s="129"/>
    </row>
    <row r="2" spans="1:8" ht="50.4" customHeight="1" x14ac:dyDescent="0.3">
      <c r="A2" s="1" t="s">
        <v>47</v>
      </c>
      <c r="B2" s="1" t="s">
        <v>96</v>
      </c>
      <c r="C2" s="1" t="s">
        <v>101</v>
      </c>
      <c r="D2" s="1" t="s">
        <v>102</v>
      </c>
      <c r="E2" s="1" t="s">
        <v>103</v>
      </c>
      <c r="F2" s="9" t="s">
        <v>104</v>
      </c>
      <c r="G2" s="42" t="s">
        <v>2</v>
      </c>
      <c r="H2" s="8" t="s">
        <v>3</v>
      </c>
    </row>
    <row r="3" spans="1:8" ht="15" customHeight="1" x14ac:dyDescent="0.3">
      <c r="A3" s="15">
        <v>1</v>
      </c>
      <c r="B3" s="13" t="s">
        <v>15</v>
      </c>
      <c r="C3" s="13">
        <v>0</v>
      </c>
      <c r="D3" s="13">
        <v>0</v>
      </c>
      <c r="E3" s="13">
        <v>0</v>
      </c>
      <c r="F3" s="16">
        <v>100</v>
      </c>
      <c r="G3" s="10">
        <f t="shared" ref="G3:G42" si="0">IF(E3=0,100,50)</f>
        <v>100</v>
      </c>
      <c r="H3" s="11">
        <f t="shared" ref="H3:H42" si="1">G3*5/100</f>
        <v>5</v>
      </c>
    </row>
    <row r="4" spans="1:8" ht="15" customHeight="1" x14ac:dyDescent="0.3">
      <c r="A4" s="15">
        <v>2</v>
      </c>
      <c r="B4" s="13" t="s">
        <v>22</v>
      </c>
      <c r="C4" s="13">
        <v>0</v>
      </c>
      <c r="D4" s="13">
        <v>0</v>
      </c>
      <c r="E4" s="13">
        <v>0</v>
      </c>
      <c r="F4" s="16" t="e">
        <f>E4/C4*100</f>
        <v>#DIV/0!</v>
      </c>
      <c r="G4" s="10">
        <f t="shared" si="0"/>
        <v>100</v>
      </c>
      <c r="H4" s="11">
        <f t="shared" si="1"/>
        <v>5</v>
      </c>
    </row>
    <row r="5" spans="1:8" ht="15" customHeight="1" x14ac:dyDescent="0.3">
      <c r="A5" s="15">
        <v>3</v>
      </c>
      <c r="B5" s="13" t="s">
        <v>25</v>
      </c>
      <c r="C5" s="13">
        <v>0</v>
      </c>
      <c r="D5" s="13">
        <v>0</v>
      </c>
      <c r="E5" s="13">
        <v>0</v>
      </c>
      <c r="F5" s="16" t="e">
        <f>E5/C5*100</f>
        <v>#DIV/0!</v>
      </c>
      <c r="G5" s="10">
        <f t="shared" si="0"/>
        <v>100</v>
      </c>
      <c r="H5" s="11">
        <f t="shared" si="1"/>
        <v>5</v>
      </c>
    </row>
    <row r="6" spans="1:8" ht="15" customHeight="1" x14ac:dyDescent="0.3">
      <c r="A6" s="13">
        <v>4</v>
      </c>
      <c r="B6" s="13" t="s">
        <v>43</v>
      </c>
      <c r="C6" s="13">
        <v>0</v>
      </c>
      <c r="D6" s="13">
        <v>0</v>
      </c>
      <c r="E6" s="13">
        <v>0</v>
      </c>
      <c r="F6" s="13">
        <v>100</v>
      </c>
      <c r="G6" s="10">
        <f t="shared" si="0"/>
        <v>100</v>
      </c>
      <c r="H6" s="11">
        <f t="shared" si="1"/>
        <v>5</v>
      </c>
    </row>
    <row r="7" spans="1:8" ht="15" customHeight="1" x14ac:dyDescent="0.3">
      <c r="A7" s="15">
        <v>5</v>
      </c>
      <c r="B7" s="13" t="s">
        <v>5</v>
      </c>
      <c r="C7" s="13">
        <v>0</v>
      </c>
      <c r="D7" s="13">
        <v>0</v>
      </c>
      <c r="E7" s="13">
        <v>0</v>
      </c>
      <c r="F7" s="16">
        <v>0</v>
      </c>
      <c r="G7" s="10">
        <f t="shared" si="0"/>
        <v>100</v>
      </c>
      <c r="H7" s="11">
        <f t="shared" si="1"/>
        <v>5</v>
      </c>
    </row>
    <row r="8" spans="1:8" ht="15" customHeight="1" x14ac:dyDescent="0.3">
      <c r="A8" s="15">
        <v>6</v>
      </c>
      <c r="B8" s="13" t="s">
        <v>6</v>
      </c>
      <c r="C8" s="13">
        <v>0</v>
      </c>
      <c r="D8" s="13">
        <v>0</v>
      </c>
      <c r="E8" s="13">
        <v>0</v>
      </c>
      <c r="F8" s="16">
        <v>0</v>
      </c>
      <c r="G8" s="10">
        <f t="shared" si="0"/>
        <v>100</v>
      </c>
      <c r="H8" s="11">
        <f t="shared" si="1"/>
        <v>5</v>
      </c>
    </row>
    <row r="9" spans="1:8" ht="15" customHeight="1" x14ac:dyDescent="0.3">
      <c r="A9" s="15">
        <v>7</v>
      </c>
      <c r="B9" s="13" t="s">
        <v>7</v>
      </c>
      <c r="C9" s="13">
        <v>0</v>
      </c>
      <c r="D9" s="13">
        <v>0</v>
      </c>
      <c r="E9" s="13">
        <v>0</v>
      </c>
      <c r="F9" s="16">
        <v>0</v>
      </c>
      <c r="G9" s="10">
        <f t="shared" si="0"/>
        <v>100</v>
      </c>
      <c r="H9" s="11">
        <f t="shared" si="1"/>
        <v>5</v>
      </c>
    </row>
    <row r="10" spans="1:8" ht="15" customHeight="1" x14ac:dyDescent="0.3">
      <c r="A10" s="15">
        <v>8</v>
      </c>
      <c r="B10" s="13" t="s">
        <v>8</v>
      </c>
      <c r="C10" s="13">
        <v>0</v>
      </c>
      <c r="D10" s="13">
        <v>0</v>
      </c>
      <c r="E10" s="13">
        <v>0</v>
      </c>
      <c r="F10" s="16">
        <v>0</v>
      </c>
      <c r="G10" s="10">
        <f t="shared" si="0"/>
        <v>100</v>
      </c>
      <c r="H10" s="11">
        <f t="shared" si="1"/>
        <v>5</v>
      </c>
    </row>
    <row r="11" spans="1:8" ht="15" customHeight="1" x14ac:dyDescent="0.3">
      <c r="A11" s="15">
        <v>9</v>
      </c>
      <c r="B11" s="13" t="s">
        <v>9</v>
      </c>
      <c r="C11" s="13">
        <v>0</v>
      </c>
      <c r="D11" s="13">
        <v>0</v>
      </c>
      <c r="E11" s="13">
        <v>0</v>
      </c>
      <c r="F11" s="16">
        <v>0</v>
      </c>
      <c r="G11" s="10">
        <f t="shared" si="0"/>
        <v>100</v>
      </c>
      <c r="H11" s="11">
        <f t="shared" si="1"/>
        <v>5</v>
      </c>
    </row>
    <row r="12" spans="1:8" ht="15" customHeight="1" x14ac:dyDescent="0.3">
      <c r="A12" s="15">
        <v>10</v>
      </c>
      <c r="B12" s="13" t="s">
        <v>10</v>
      </c>
      <c r="C12" s="13">
        <v>0</v>
      </c>
      <c r="D12" s="13">
        <v>0</v>
      </c>
      <c r="E12" s="13">
        <v>0</v>
      </c>
      <c r="F12" s="16">
        <v>0</v>
      </c>
      <c r="G12" s="10">
        <f t="shared" si="0"/>
        <v>100</v>
      </c>
      <c r="H12" s="11">
        <f t="shared" si="1"/>
        <v>5</v>
      </c>
    </row>
    <row r="13" spans="1:8" ht="15" customHeight="1" x14ac:dyDescent="0.3">
      <c r="A13" s="15">
        <v>11</v>
      </c>
      <c r="B13" s="13" t="s">
        <v>11</v>
      </c>
      <c r="C13" s="13">
        <v>0</v>
      </c>
      <c r="D13" s="13">
        <v>0</v>
      </c>
      <c r="E13" s="13">
        <v>0</v>
      </c>
      <c r="F13" s="16">
        <v>0</v>
      </c>
      <c r="G13" s="10">
        <f t="shared" si="0"/>
        <v>100</v>
      </c>
      <c r="H13" s="11">
        <f t="shared" si="1"/>
        <v>5</v>
      </c>
    </row>
    <row r="14" spans="1:8" ht="15" customHeight="1" x14ac:dyDescent="0.3">
      <c r="A14" s="15">
        <v>12</v>
      </c>
      <c r="B14" s="13" t="s">
        <v>12</v>
      </c>
      <c r="C14" s="13">
        <v>0</v>
      </c>
      <c r="D14" s="13">
        <v>0</v>
      </c>
      <c r="E14" s="13">
        <v>0</v>
      </c>
      <c r="F14" s="16">
        <v>0</v>
      </c>
      <c r="G14" s="10">
        <f t="shared" si="0"/>
        <v>100</v>
      </c>
      <c r="H14" s="11">
        <f t="shared" si="1"/>
        <v>5</v>
      </c>
    </row>
    <row r="15" spans="1:8" ht="15" customHeight="1" x14ac:dyDescent="0.3">
      <c r="A15" s="15">
        <v>13</v>
      </c>
      <c r="B15" s="13" t="s">
        <v>14</v>
      </c>
      <c r="C15" s="13">
        <v>0</v>
      </c>
      <c r="D15" s="13">
        <v>0</v>
      </c>
      <c r="E15" s="13">
        <v>0</v>
      </c>
      <c r="F15" s="16">
        <v>0</v>
      </c>
      <c r="G15" s="10">
        <f t="shared" si="0"/>
        <v>100</v>
      </c>
      <c r="H15" s="11">
        <f t="shared" si="1"/>
        <v>5</v>
      </c>
    </row>
    <row r="16" spans="1:8" ht="15" customHeight="1" x14ac:dyDescent="0.3">
      <c r="A16" s="15">
        <v>14</v>
      </c>
      <c r="B16" s="13" t="s">
        <v>13</v>
      </c>
      <c r="C16" s="13">
        <v>0</v>
      </c>
      <c r="D16" s="13">
        <v>0</v>
      </c>
      <c r="E16" s="13">
        <v>0</v>
      </c>
      <c r="F16" s="16">
        <v>0</v>
      </c>
      <c r="G16" s="10">
        <f t="shared" si="0"/>
        <v>100</v>
      </c>
      <c r="H16" s="11">
        <f t="shared" si="1"/>
        <v>5</v>
      </c>
    </row>
    <row r="17" spans="1:8" ht="15" customHeight="1" x14ac:dyDescent="0.3">
      <c r="A17" s="15">
        <v>15</v>
      </c>
      <c r="B17" s="13" t="s">
        <v>16</v>
      </c>
      <c r="C17" s="13">
        <v>0</v>
      </c>
      <c r="D17" s="13">
        <v>0</v>
      </c>
      <c r="E17" s="13">
        <v>0</v>
      </c>
      <c r="F17" s="16">
        <v>0</v>
      </c>
      <c r="G17" s="10">
        <f t="shared" si="0"/>
        <v>100</v>
      </c>
      <c r="H17" s="11">
        <f t="shared" si="1"/>
        <v>5</v>
      </c>
    </row>
    <row r="18" spans="1:8" ht="15" customHeight="1" x14ac:dyDescent="0.3">
      <c r="A18" s="15">
        <v>16</v>
      </c>
      <c r="B18" s="13" t="s">
        <v>17</v>
      </c>
      <c r="C18" s="13">
        <v>0</v>
      </c>
      <c r="D18" s="13">
        <v>0</v>
      </c>
      <c r="E18" s="13">
        <v>0</v>
      </c>
      <c r="F18" s="16">
        <v>0</v>
      </c>
      <c r="G18" s="10">
        <f t="shared" si="0"/>
        <v>100</v>
      </c>
      <c r="H18" s="11">
        <f t="shared" si="1"/>
        <v>5</v>
      </c>
    </row>
    <row r="19" spans="1:8" ht="15" customHeight="1" x14ac:dyDescent="0.3">
      <c r="A19" s="15">
        <v>17</v>
      </c>
      <c r="B19" s="13" t="s">
        <v>18</v>
      </c>
      <c r="C19" s="13">
        <v>0</v>
      </c>
      <c r="D19" s="13">
        <v>0</v>
      </c>
      <c r="E19" s="13">
        <v>0</v>
      </c>
      <c r="F19" s="16">
        <v>0</v>
      </c>
      <c r="G19" s="10">
        <f t="shared" si="0"/>
        <v>100</v>
      </c>
      <c r="H19" s="11">
        <f t="shared" si="1"/>
        <v>5</v>
      </c>
    </row>
    <row r="20" spans="1:8" ht="15" customHeight="1" x14ac:dyDescent="0.3">
      <c r="A20" s="15">
        <v>18</v>
      </c>
      <c r="B20" s="13" t="s">
        <v>19</v>
      </c>
      <c r="C20" s="13">
        <v>0</v>
      </c>
      <c r="D20" s="13">
        <v>0</v>
      </c>
      <c r="E20" s="13">
        <v>0</v>
      </c>
      <c r="F20" s="16">
        <v>0</v>
      </c>
      <c r="G20" s="10">
        <f t="shared" si="0"/>
        <v>100</v>
      </c>
      <c r="H20" s="11">
        <f t="shared" si="1"/>
        <v>5</v>
      </c>
    </row>
    <row r="21" spans="1:8" ht="15" customHeight="1" x14ac:dyDescent="0.3">
      <c r="A21" s="15">
        <v>19</v>
      </c>
      <c r="B21" s="13" t="s">
        <v>20</v>
      </c>
      <c r="C21" s="13">
        <v>0</v>
      </c>
      <c r="D21" s="13">
        <v>0</v>
      </c>
      <c r="E21" s="13">
        <v>0</v>
      </c>
      <c r="F21" s="16">
        <v>0</v>
      </c>
      <c r="G21" s="10">
        <f t="shared" si="0"/>
        <v>100</v>
      </c>
      <c r="H21" s="11">
        <f t="shared" si="1"/>
        <v>5</v>
      </c>
    </row>
    <row r="22" spans="1:8" ht="15" customHeight="1" x14ac:dyDescent="0.3">
      <c r="A22" s="15">
        <v>20</v>
      </c>
      <c r="B22" s="13" t="s">
        <v>21</v>
      </c>
      <c r="C22" s="13">
        <v>0</v>
      </c>
      <c r="D22" s="13">
        <v>0</v>
      </c>
      <c r="E22" s="13">
        <v>0</v>
      </c>
      <c r="F22" s="16">
        <v>0</v>
      </c>
      <c r="G22" s="10">
        <f t="shared" si="0"/>
        <v>100</v>
      </c>
      <c r="H22" s="11">
        <f t="shared" si="1"/>
        <v>5</v>
      </c>
    </row>
    <row r="23" spans="1:8" ht="15" customHeight="1" x14ac:dyDescent="0.3">
      <c r="A23" s="15">
        <v>21</v>
      </c>
      <c r="B23" s="13" t="s">
        <v>23</v>
      </c>
      <c r="C23" s="13">
        <v>0</v>
      </c>
      <c r="D23" s="13">
        <v>0</v>
      </c>
      <c r="E23" s="13">
        <v>0</v>
      </c>
      <c r="F23" s="16">
        <v>0</v>
      </c>
      <c r="G23" s="10">
        <f t="shared" si="0"/>
        <v>100</v>
      </c>
      <c r="H23" s="11">
        <f t="shared" si="1"/>
        <v>5</v>
      </c>
    </row>
    <row r="24" spans="1:8" ht="15" customHeight="1" x14ac:dyDescent="0.3">
      <c r="A24" s="15">
        <v>22</v>
      </c>
      <c r="B24" s="13" t="s">
        <v>24</v>
      </c>
      <c r="C24" s="13">
        <v>0</v>
      </c>
      <c r="D24" s="13">
        <v>0</v>
      </c>
      <c r="E24" s="13">
        <v>0</v>
      </c>
      <c r="F24" s="16">
        <v>0</v>
      </c>
      <c r="G24" s="10">
        <f t="shared" si="0"/>
        <v>100</v>
      </c>
      <c r="H24" s="11">
        <f t="shared" si="1"/>
        <v>5</v>
      </c>
    </row>
    <row r="25" spans="1:8" ht="15" customHeight="1" x14ac:dyDescent="0.3">
      <c r="A25" s="15">
        <v>23</v>
      </c>
      <c r="B25" s="13" t="s">
        <v>26</v>
      </c>
      <c r="C25" s="13">
        <v>0</v>
      </c>
      <c r="D25" s="13">
        <v>0</v>
      </c>
      <c r="E25" s="13">
        <v>0</v>
      </c>
      <c r="F25" s="16">
        <v>0</v>
      </c>
      <c r="G25" s="10">
        <f t="shared" si="0"/>
        <v>100</v>
      </c>
      <c r="H25" s="11">
        <f t="shared" si="1"/>
        <v>5</v>
      </c>
    </row>
    <row r="26" spans="1:8" ht="15" customHeight="1" x14ac:dyDescent="0.3">
      <c r="A26" s="15">
        <v>24</v>
      </c>
      <c r="B26" s="13" t="s">
        <v>27</v>
      </c>
      <c r="C26" s="13">
        <v>0</v>
      </c>
      <c r="D26" s="13">
        <v>0</v>
      </c>
      <c r="E26" s="13">
        <v>0</v>
      </c>
      <c r="F26" s="16">
        <v>0</v>
      </c>
      <c r="G26" s="10">
        <f t="shared" si="0"/>
        <v>100</v>
      </c>
      <c r="H26" s="11">
        <f t="shared" si="1"/>
        <v>5</v>
      </c>
    </row>
    <row r="27" spans="1:8" ht="15" customHeight="1" x14ac:dyDescent="0.3">
      <c r="A27" s="15">
        <v>25</v>
      </c>
      <c r="B27" s="13" t="s">
        <v>28</v>
      </c>
      <c r="C27" s="13">
        <v>0</v>
      </c>
      <c r="D27" s="13">
        <v>0</v>
      </c>
      <c r="E27" s="13">
        <v>0</v>
      </c>
      <c r="F27" s="16">
        <v>0</v>
      </c>
      <c r="G27" s="10">
        <f t="shared" si="0"/>
        <v>100</v>
      </c>
      <c r="H27" s="11">
        <f t="shared" si="1"/>
        <v>5</v>
      </c>
    </row>
    <row r="28" spans="1:8" ht="15" customHeight="1" x14ac:dyDescent="0.3">
      <c r="A28" s="15">
        <v>26</v>
      </c>
      <c r="B28" s="13" t="s">
        <v>29</v>
      </c>
      <c r="C28" s="13">
        <v>0</v>
      </c>
      <c r="D28" s="13">
        <v>0</v>
      </c>
      <c r="E28" s="13">
        <v>0</v>
      </c>
      <c r="F28" s="16">
        <v>0</v>
      </c>
      <c r="G28" s="10">
        <f t="shared" si="0"/>
        <v>100</v>
      </c>
      <c r="H28" s="11">
        <f t="shared" si="1"/>
        <v>5</v>
      </c>
    </row>
    <row r="29" spans="1:8" ht="15" customHeight="1" x14ac:dyDescent="0.3">
      <c r="A29" s="15">
        <v>27</v>
      </c>
      <c r="B29" s="13" t="s">
        <v>30</v>
      </c>
      <c r="C29" s="13">
        <v>0</v>
      </c>
      <c r="D29" s="13">
        <v>0</v>
      </c>
      <c r="E29" s="13">
        <v>0</v>
      </c>
      <c r="F29" s="16">
        <v>0</v>
      </c>
      <c r="G29" s="10">
        <f t="shared" si="0"/>
        <v>100</v>
      </c>
      <c r="H29" s="11">
        <f t="shared" si="1"/>
        <v>5</v>
      </c>
    </row>
    <row r="30" spans="1:8" ht="15" customHeight="1" x14ac:dyDescent="0.3">
      <c r="A30" s="15">
        <v>28</v>
      </c>
      <c r="B30" s="13" t="s">
        <v>31</v>
      </c>
      <c r="C30" s="13">
        <v>0</v>
      </c>
      <c r="D30" s="13">
        <v>0</v>
      </c>
      <c r="E30" s="13">
        <v>0</v>
      </c>
      <c r="F30" s="16">
        <v>0</v>
      </c>
      <c r="G30" s="10">
        <f t="shared" si="0"/>
        <v>100</v>
      </c>
      <c r="H30" s="11">
        <f t="shared" si="1"/>
        <v>5</v>
      </c>
    </row>
    <row r="31" spans="1:8" ht="15" customHeight="1" x14ac:dyDescent="0.3">
      <c r="A31" s="15">
        <v>29</v>
      </c>
      <c r="B31" s="13" t="s">
        <v>32</v>
      </c>
      <c r="C31" s="13">
        <v>0</v>
      </c>
      <c r="D31" s="13">
        <v>0</v>
      </c>
      <c r="E31" s="13">
        <v>0</v>
      </c>
      <c r="F31" s="16">
        <v>0</v>
      </c>
      <c r="G31" s="10">
        <f t="shared" si="0"/>
        <v>100</v>
      </c>
      <c r="H31" s="11">
        <f t="shared" si="1"/>
        <v>5</v>
      </c>
    </row>
    <row r="32" spans="1:8" ht="15" customHeight="1" x14ac:dyDescent="0.3">
      <c r="A32" s="15">
        <v>30</v>
      </c>
      <c r="B32" s="13" t="s">
        <v>33</v>
      </c>
      <c r="C32" s="13">
        <v>0</v>
      </c>
      <c r="D32" s="13">
        <v>0</v>
      </c>
      <c r="E32" s="13">
        <v>0</v>
      </c>
      <c r="F32" s="16">
        <v>0</v>
      </c>
      <c r="G32" s="10">
        <f t="shared" si="0"/>
        <v>100</v>
      </c>
      <c r="H32" s="11">
        <f t="shared" si="1"/>
        <v>5</v>
      </c>
    </row>
    <row r="33" spans="1:8" ht="15" customHeight="1" x14ac:dyDescent="0.3">
      <c r="A33" s="15">
        <v>31</v>
      </c>
      <c r="B33" s="13" t="s">
        <v>35</v>
      </c>
      <c r="C33" s="13">
        <v>0</v>
      </c>
      <c r="D33" s="13">
        <v>0</v>
      </c>
      <c r="E33" s="13">
        <v>0</v>
      </c>
      <c r="F33" s="16">
        <v>0</v>
      </c>
      <c r="G33" s="10">
        <f t="shared" si="0"/>
        <v>100</v>
      </c>
      <c r="H33" s="11">
        <f t="shared" si="1"/>
        <v>5</v>
      </c>
    </row>
    <row r="34" spans="1:8" ht="15" customHeight="1" x14ac:dyDescent="0.3">
      <c r="A34" s="15">
        <v>32</v>
      </c>
      <c r="B34" s="13" t="s">
        <v>34</v>
      </c>
      <c r="C34" s="13">
        <v>0</v>
      </c>
      <c r="D34" s="13">
        <v>0</v>
      </c>
      <c r="E34" s="13">
        <v>0</v>
      </c>
      <c r="F34" s="16">
        <v>0</v>
      </c>
      <c r="G34" s="10">
        <f t="shared" si="0"/>
        <v>100</v>
      </c>
      <c r="H34" s="11">
        <f t="shared" si="1"/>
        <v>5</v>
      </c>
    </row>
    <row r="35" spans="1:8" ht="15" customHeight="1" x14ac:dyDescent="0.3">
      <c r="A35" s="15">
        <v>33</v>
      </c>
      <c r="B35" s="13" t="s">
        <v>4</v>
      </c>
      <c r="C35" s="13">
        <v>0</v>
      </c>
      <c r="D35" s="13">
        <v>0</v>
      </c>
      <c r="E35" s="13">
        <v>0</v>
      </c>
      <c r="F35" s="16">
        <v>0</v>
      </c>
      <c r="G35" s="10">
        <f t="shared" si="0"/>
        <v>100</v>
      </c>
      <c r="H35" s="11">
        <f t="shared" si="1"/>
        <v>5</v>
      </c>
    </row>
    <row r="36" spans="1:8" ht="15" customHeight="1" x14ac:dyDescent="0.3">
      <c r="A36" s="15">
        <v>34</v>
      </c>
      <c r="B36" s="13" t="s">
        <v>36</v>
      </c>
      <c r="C36" s="13">
        <v>0</v>
      </c>
      <c r="D36" s="13">
        <v>0</v>
      </c>
      <c r="E36" s="13">
        <v>0</v>
      </c>
      <c r="F36" s="16">
        <v>0</v>
      </c>
      <c r="G36" s="10">
        <f t="shared" si="0"/>
        <v>100</v>
      </c>
      <c r="H36" s="11">
        <f t="shared" si="1"/>
        <v>5</v>
      </c>
    </row>
    <row r="37" spans="1:8" ht="15" customHeight="1" x14ac:dyDescent="0.3">
      <c r="A37" s="15">
        <v>35</v>
      </c>
      <c r="B37" s="13" t="s">
        <v>37</v>
      </c>
      <c r="C37" s="13">
        <v>0</v>
      </c>
      <c r="D37" s="13">
        <v>0</v>
      </c>
      <c r="E37" s="13">
        <v>0</v>
      </c>
      <c r="F37" s="16">
        <v>0</v>
      </c>
      <c r="G37" s="10">
        <f t="shared" si="0"/>
        <v>100</v>
      </c>
      <c r="H37" s="11">
        <f t="shared" si="1"/>
        <v>5</v>
      </c>
    </row>
    <row r="38" spans="1:8" ht="15" customHeight="1" x14ac:dyDescent="0.3">
      <c r="A38" s="15">
        <v>36</v>
      </c>
      <c r="B38" s="13" t="s">
        <v>38</v>
      </c>
      <c r="C38" s="13">
        <v>0</v>
      </c>
      <c r="D38" s="13">
        <v>0</v>
      </c>
      <c r="E38" s="13">
        <v>0</v>
      </c>
      <c r="F38" s="16">
        <v>0</v>
      </c>
      <c r="G38" s="10">
        <f t="shared" si="0"/>
        <v>100</v>
      </c>
      <c r="H38" s="11">
        <f t="shared" si="1"/>
        <v>5</v>
      </c>
    </row>
    <row r="39" spans="1:8" ht="15" customHeight="1" x14ac:dyDescent="0.3">
      <c r="A39" s="15">
        <v>37</v>
      </c>
      <c r="B39" s="13" t="s">
        <v>39</v>
      </c>
      <c r="C39" s="13">
        <v>0</v>
      </c>
      <c r="D39" s="13">
        <v>0</v>
      </c>
      <c r="E39" s="13">
        <v>0</v>
      </c>
      <c r="F39" s="16">
        <v>0</v>
      </c>
      <c r="G39" s="10">
        <f t="shared" si="0"/>
        <v>100</v>
      </c>
      <c r="H39" s="11">
        <f t="shared" si="1"/>
        <v>5</v>
      </c>
    </row>
    <row r="40" spans="1:8" ht="15" customHeight="1" x14ac:dyDescent="0.3">
      <c r="A40" s="15">
        <v>38</v>
      </c>
      <c r="B40" s="13" t="s">
        <v>40</v>
      </c>
      <c r="C40" s="13">
        <v>0</v>
      </c>
      <c r="D40" s="13">
        <v>0</v>
      </c>
      <c r="E40" s="13">
        <v>0</v>
      </c>
      <c r="F40" s="16">
        <v>0</v>
      </c>
      <c r="G40" s="10">
        <f t="shared" si="0"/>
        <v>100</v>
      </c>
      <c r="H40" s="11">
        <f t="shared" si="1"/>
        <v>5</v>
      </c>
    </row>
    <row r="41" spans="1:8" ht="15" customHeight="1" x14ac:dyDescent="0.3">
      <c r="A41" s="15">
        <v>39</v>
      </c>
      <c r="B41" s="13" t="s">
        <v>41</v>
      </c>
      <c r="C41" s="13">
        <v>0</v>
      </c>
      <c r="D41" s="13">
        <v>0</v>
      </c>
      <c r="E41" s="13">
        <v>0</v>
      </c>
      <c r="F41" s="16">
        <v>0</v>
      </c>
      <c r="G41" s="10">
        <f t="shared" si="0"/>
        <v>100</v>
      </c>
      <c r="H41" s="11">
        <f t="shared" si="1"/>
        <v>5</v>
      </c>
    </row>
    <row r="42" spans="1:8" ht="15" customHeight="1" x14ac:dyDescent="0.3">
      <c r="A42" s="15">
        <v>40</v>
      </c>
      <c r="B42" s="13" t="s">
        <v>42</v>
      </c>
      <c r="C42" s="13">
        <v>0</v>
      </c>
      <c r="D42" s="13">
        <v>0</v>
      </c>
      <c r="E42" s="13">
        <v>0</v>
      </c>
      <c r="F42" s="16">
        <v>0</v>
      </c>
      <c r="G42" s="10">
        <f t="shared" si="0"/>
        <v>100</v>
      </c>
      <c r="H42" s="11">
        <f t="shared" si="1"/>
        <v>5</v>
      </c>
    </row>
    <row r="43" spans="1:8" ht="15" customHeight="1" x14ac:dyDescent="0.3">
      <c r="A43" s="130" t="s">
        <v>105</v>
      </c>
      <c r="B43" s="130"/>
      <c r="C43" s="13"/>
      <c r="D43" s="13"/>
      <c r="E43" s="13"/>
      <c r="F43" s="16"/>
      <c r="G43" s="43"/>
      <c r="H43" s="17"/>
    </row>
    <row r="44" spans="1:8" ht="15" customHeight="1" x14ac:dyDescent="0.3"/>
    <row r="45" spans="1:8" ht="14.25" customHeight="1" x14ac:dyDescent="0.3">
      <c r="B45" s="5" t="s">
        <v>44</v>
      </c>
    </row>
  </sheetData>
  <mergeCells count="2">
    <mergeCell ref="A1:H1"/>
    <mergeCell ref="A43:B43"/>
  </mergeCells>
  <conditionalFormatting sqref="A3:H42">
    <cfRule type="expression" dxfId="4" priority="2">
      <formula>AND($C3&gt;0,$E3=0)</formula>
    </cfRule>
  </conditionalFormatting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G45"/>
  <sheetViews>
    <sheetView zoomScaleNormal="100" workbookViewId="0">
      <selection activeCell="Q17" sqref="Q17"/>
    </sheetView>
  </sheetViews>
  <sheetFormatPr defaultColWidth="8.6640625" defaultRowHeight="14.4" x14ac:dyDescent="0.3"/>
  <cols>
    <col min="1" max="1" width="5.109375" customWidth="1"/>
    <col min="2" max="2" width="27.44140625" customWidth="1"/>
    <col min="3" max="4" width="11.109375" customWidth="1"/>
    <col min="5" max="5" width="11.109375" style="18" customWidth="1"/>
    <col min="6" max="6" width="11.109375" style="12" customWidth="1"/>
    <col min="7" max="7" width="11.109375" customWidth="1"/>
  </cols>
  <sheetData>
    <row r="1" spans="1:7" ht="30" customHeight="1" x14ac:dyDescent="0.3">
      <c r="A1" s="131" t="s">
        <v>192</v>
      </c>
      <c r="B1" s="132"/>
      <c r="C1" s="132"/>
      <c r="D1" s="132"/>
      <c r="E1" s="132"/>
      <c r="F1" s="132"/>
      <c r="G1" s="133"/>
    </row>
    <row r="2" spans="1:7" ht="53.4" customHeight="1" x14ac:dyDescent="0.3">
      <c r="A2" s="68" t="s">
        <v>135</v>
      </c>
      <c r="B2" s="69" t="s">
        <v>136</v>
      </c>
      <c r="C2" s="69" t="s">
        <v>137</v>
      </c>
      <c r="D2" s="69" t="s">
        <v>138</v>
      </c>
      <c r="E2" s="70" t="s">
        <v>139</v>
      </c>
      <c r="F2" s="70" t="s">
        <v>2</v>
      </c>
      <c r="G2" s="70" t="s">
        <v>93</v>
      </c>
    </row>
    <row r="3" spans="1:7" ht="14.25" customHeight="1" x14ac:dyDescent="0.3">
      <c r="A3" s="71">
        <v>1</v>
      </c>
      <c r="B3" s="72" t="s">
        <v>38</v>
      </c>
      <c r="C3" s="73"/>
      <c r="D3" s="48"/>
      <c r="E3" s="74" t="e">
        <f>D3/C3*100</f>
        <v>#DIV/0!</v>
      </c>
      <c r="F3" s="48">
        <v>0</v>
      </c>
      <c r="G3" s="75">
        <f t="shared" ref="G3:G42" si="0">F3*5/100</f>
        <v>0</v>
      </c>
    </row>
    <row r="4" spans="1:7" ht="14.25" customHeight="1" x14ac:dyDescent="0.3">
      <c r="A4" s="71">
        <v>2</v>
      </c>
      <c r="B4" s="72" t="s">
        <v>42</v>
      </c>
      <c r="C4" s="73"/>
      <c r="D4" s="48"/>
      <c r="E4" s="74" t="e">
        <f t="shared" ref="E4:E42" si="1">D4/C4*100</f>
        <v>#DIV/0!</v>
      </c>
      <c r="F4" s="48">
        <v>0</v>
      </c>
      <c r="G4" s="75">
        <f t="shared" si="0"/>
        <v>0</v>
      </c>
    </row>
    <row r="5" spans="1:7" ht="14.25" customHeight="1" x14ac:dyDescent="0.3">
      <c r="A5" s="71">
        <v>3</v>
      </c>
      <c r="B5" s="72" t="s">
        <v>36</v>
      </c>
      <c r="C5" s="73"/>
      <c r="D5" s="48"/>
      <c r="E5" s="74" t="e">
        <f t="shared" si="1"/>
        <v>#DIV/0!</v>
      </c>
      <c r="F5" s="48">
        <v>0</v>
      </c>
      <c r="G5" s="75">
        <f t="shared" si="0"/>
        <v>0</v>
      </c>
    </row>
    <row r="6" spans="1:7" ht="14.25" customHeight="1" x14ac:dyDescent="0.3">
      <c r="A6" s="71">
        <v>4</v>
      </c>
      <c r="B6" s="72" t="s">
        <v>14</v>
      </c>
      <c r="C6" s="73"/>
      <c r="D6" s="48"/>
      <c r="E6" s="74" t="e">
        <f t="shared" si="1"/>
        <v>#DIV/0!</v>
      </c>
      <c r="F6" s="48">
        <v>0</v>
      </c>
      <c r="G6" s="75">
        <f t="shared" si="0"/>
        <v>0</v>
      </c>
    </row>
    <row r="7" spans="1:7" ht="14.25" customHeight="1" x14ac:dyDescent="0.3">
      <c r="A7" s="71">
        <v>5</v>
      </c>
      <c r="B7" s="72" t="s">
        <v>35</v>
      </c>
      <c r="C7" s="73"/>
      <c r="D7" s="48"/>
      <c r="E7" s="74" t="e">
        <f t="shared" si="1"/>
        <v>#DIV/0!</v>
      </c>
      <c r="F7" s="48">
        <v>0</v>
      </c>
      <c r="G7" s="75">
        <f t="shared" si="0"/>
        <v>0</v>
      </c>
    </row>
    <row r="8" spans="1:7" ht="14.25" customHeight="1" x14ac:dyDescent="0.3">
      <c r="A8" s="71">
        <v>6</v>
      </c>
      <c r="B8" s="72" t="s">
        <v>18</v>
      </c>
      <c r="C8" s="73"/>
      <c r="D8" s="48">
        <v>1</v>
      </c>
      <c r="E8" s="74" t="e">
        <f t="shared" si="1"/>
        <v>#DIV/0!</v>
      </c>
      <c r="F8" s="48">
        <v>100</v>
      </c>
      <c r="G8" s="75">
        <f t="shared" si="0"/>
        <v>5</v>
      </c>
    </row>
    <row r="9" spans="1:7" ht="14.25" customHeight="1" x14ac:dyDescent="0.3">
      <c r="A9" s="71">
        <v>7</v>
      </c>
      <c r="B9" s="72" t="s">
        <v>13</v>
      </c>
      <c r="C9" s="73">
        <v>1</v>
      </c>
      <c r="D9" s="48"/>
      <c r="E9" s="74">
        <f t="shared" si="1"/>
        <v>0</v>
      </c>
      <c r="F9" s="48">
        <v>0</v>
      </c>
      <c r="G9" s="75">
        <f t="shared" si="0"/>
        <v>0</v>
      </c>
    </row>
    <row r="10" spans="1:7" ht="14.25" customHeight="1" x14ac:dyDescent="0.3">
      <c r="A10" s="71">
        <v>8</v>
      </c>
      <c r="B10" s="72" t="s">
        <v>6</v>
      </c>
      <c r="C10" s="73"/>
      <c r="D10" s="48">
        <v>5</v>
      </c>
      <c r="E10" s="74" t="e">
        <f t="shared" si="1"/>
        <v>#DIV/0!</v>
      </c>
      <c r="F10" s="48">
        <v>100</v>
      </c>
      <c r="G10" s="75">
        <f t="shared" si="0"/>
        <v>5</v>
      </c>
    </row>
    <row r="11" spans="1:7" ht="14.25" customHeight="1" x14ac:dyDescent="0.3">
      <c r="A11" s="71">
        <v>9</v>
      </c>
      <c r="B11" s="72" t="s">
        <v>15</v>
      </c>
      <c r="C11" s="73"/>
      <c r="D11" s="48"/>
      <c r="E11" s="74" t="e">
        <f t="shared" si="1"/>
        <v>#DIV/0!</v>
      </c>
      <c r="F11" s="48">
        <v>100</v>
      </c>
      <c r="G11" s="75">
        <f t="shared" si="0"/>
        <v>5</v>
      </c>
    </row>
    <row r="12" spans="1:7" ht="14.25" customHeight="1" x14ac:dyDescent="0.3">
      <c r="A12" s="71">
        <v>10</v>
      </c>
      <c r="B12" s="72" t="s">
        <v>23</v>
      </c>
      <c r="C12" s="73"/>
      <c r="D12" s="48">
        <v>15</v>
      </c>
      <c r="E12" s="74" t="e">
        <f t="shared" si="1"/>
        <v>#DIV/0!</v>
      </c>
      <c r="F12" s="48">
        <v>0</v>
      </c>
      <c r="G12" s="75">
        <f t="shared" si="0"/>
        <v>0</v>
      </c>
    </row>
    <row r="13" spans="1:7" ht="14.25" customHeight="1" x14ac:dyDescent="0.3">
      <c r="A13" s="71">
        <v>11</v>
      </c>
      <c r="B13" s="72" t="s">
        <v>40</v>
      </c>
      <c r="C13" s="73"/>
      <c r="D13" s="48">
        <v>1</v>
      </c>
      <c r="E13" s="74" t="e">
        <f t="shared" si="1"/>
        <v>#DIV/0!</v>
      </c>
      <c r="F13" s="48">
        <v>100</v>
      </c>
      <c r="G13" s="75">
        <f t="shared" si="0"/>
        <v>5</v>
      </c>
    </row>
    <row r="14" spans="1:7" ht="14.25" customHeight="1" x14ac:dyDescent="0.3">
      <c r="A14" s="71">
        <v>12</v>
      </c>
      <c r="B14" s="72" t="s">
        <v>10</v>
      </c>
      <c r="C14" s="73"/>
      <c r="D14" s="48">
        <v>2</v>
      </c>
      <c r="E14" s="74" t="e">
        <f t="shared" si="1"/>
        <v>#DIV/0!</v>
      </c>
      <c r="F14" s="48">
        <v>100</v>
      </c>
      <c r="G14" s="75">
        <f t="shared" si="0"/>
        <v>5</v>
      </c>
    </row>
    <row r="15" spans="1:7" ht="14.25" customHeight="1" x14ac:dyDescent="0.3">
      <c r="A15" s="71">
        <v>13</v>
      </c>
      <c r="B15" s="72" t="s">
        <v>32</v>
      </c>
      <c r="C15" s="73"/>
      <c r="D15" s="48">
        <v>1</v>
      </c>
      <c r="E15" s="74" t="e">
        <f t="shared" si="1"/>
        <v>#DIV/0!</v>
      </c>
      <c r="F15" s="48">
        <v>100</v>
      </c>
      <c r="G15" s="75">
        <f t="shared" si="0"/>
        <v>5</v>
      </c>
    </row>
    <row r="16" spans="1:7" ht="14.25" customHeight="1" x14ac:dyDescent="0.3">
      <c r="A16" s="71">
        <v>14</v>
      </c>
      <c r="B16" s="72" t="s">
        <v>7</v>
      </c>
      <c r="C16" s="73"/>
      <c r="D16" s="48"/>
      <c r="E16" s="74" t="e">
        <f t="shared" si="1"/>
        <v>#DIV/0!</v>
      </c>
      <c r="F16" s="48">
        <v>0</v>
      </c>
      <c r="G16" s="75">
        <f t="shared" si="0"/>
        <v>0</v>
      </c>
    </row>
    <row r="17" spans="1:7" ht="14.25" customHeight="1" x14ac:dyDescent="0.3">
      <c r="A17" s="71">
        <v>15</v>
      </c>
      <c r="B17" s="72" t="s">
        <v>9</v>
      </c>
      <c r="C17" s="73">
        <v>1</v>
      </c>
      <c r="D17" s="48"/>
      <c r="E17" s="74">
        <f t="shared" si="1"/>
        <v>0</v>
      </c>
      <c r="F17" s="48">
        <v>100</v>
      </c>
      <c r="G17" s="75">
        <f t="shared" si="0"/>
        <v>5</v>
      </c>
    </row>
    <row r="18" spans="1:7" ht="14.25" customHeight="1" x14ac:dyDescent="0.3">
      <c r="A18" s="71">
        <v>16</v>
      </c>
      <c r="B18" s="72" t="s">
        <v>17</v>
      </c>
      <c r="C18" s="73">
        <v>2</v>
      </c>
      <c r="D18" s="48">
        <v>2</v>
      </c>
      <c r="E18" s="74">
        <f t="shared" si="1"/>
        <v>100</v>
      </c>
      <c r="F18" s="48">
        <v>100</v>
      </c>
      <c r="G18" s="75">
        <f t="shared" si="0"/>
        <v>5</v>
      </c>
    </row>
    <row r="19" spans="1:7" ht="14.25" customHeight="1" x14ac:dyDescent="0.3">
      <c r="A19" s="71">
        <v>17</v>
      </c>
      <c r="B19" s="72" t="s">
        <v>24</v>
      </c>
      <c r="C19" s="73"/>
      <c r="D19" s="48"/>
      <c r="E19" s="74" t="e">
        <f t="shared" si="1"/>
        <v>#DIV/0!</v>
      </c>
      <c r="F19" s="48">
        <v>0</v>
      </c>
      <c r="G19" s="75">
        <f t="shared" si="0"/>
        <v>0</v>
      </c>
    </row>
    <row r="20" spans="1:7" ht="14.25" customHeight="1" x14ac:dyDescent="0.3">
      <c r="A20" s="71">
        <v>18</v>
      </c>
      <c r="B20" s="72" t="s">
        <v>5</v>
      </c>
      <c r="C20" s="73">
        <v>1</v>
      </c>
      <c r="D20" s="48">
        <v>1</v>
      </c>
      <c r="E20" s="74">
        <f t="shared" si="1"/>
        <v>100</v>
      </c>
      <c r="F20" s="48">
        <v>100</v>
      </c>
      <c r="G20" s="75">
        <f t="shared" si="0"/>
        <v>5</v>
      </c>
    </row>
    <row r="21" spans="1:7" ht="14.25" customHeight="1" x14ac:dyDescent="0.3">
      <c r="A21" s="71">
        <v>19</v>
      </c>
      <c r="B21" s="72" t="s">
        <v>19</v>
      </c>
      <c r="C21" s="73">
        <v>1</v>
      </c>
      <c r="D21" s="48">
        <v>2</v>
      </c>
      <c r="E21" s="74">
        <f t="shared" si="1"/>
        <v>200</v>
      </c>
      <c r="F21" s="48">
        <v>100</v>
      </c>
      <c r="G21" s="75">
        <f t="shared" si="0"/>
        <v>5</v>
      </c>
    </row>
    <row r="22" spans="1:7" ht="14.25" customHeight="1" x14ac:dyDescent="0.3">
      <c r="A22" s="71">
        <v>20</v>
      </c>
      <c r="B22" s="72" t="s">
        <v>30</v>
      </c>
      <c r="C22" s="73"/>
      <c r="D22" s="48"/>
      <c r="E22" s="74" t="e">
        <f t="shared" si="1"/>
        <v>#DIV/0!</v>
      </c>
      <c r="F22" s="71">
        <v>0</v>
      </c>
      <c r="G22" s="76">
        <f t="shared" si="0"/>
        <v>0</v>
      </c>
    </row>
    <row r="23" spans="1:7" ht="14.25" customHeight="1" x14ac:dyDescent="0.3">
      <c r="A23" s="71">
        <v>21</v>
      </c>
      <c r="B23" s="72" t="s">
        <v>11</v>
      </c>
      <c r="C23" s="73"/>
      <c r="D23" s="48">
        <v>5</v>
      </c>
      <c r="E23" s="74" t="e">
        <f t="shared" si="1"/>
        <v>#DIV/0!</v>
      </c>
      <c r="F23" s="48">
        <v>100</v>
      </c>
      <c r="G23" s="75">
        <f t="shared" si="0"/>
        <v>5</v>
      </c>
    </row>
    <row r="24" spans="1:7" ht="14.25" customHeight="1" x14ac:dyDescent="0.3">
      <c r="A24" s="71">
        <v>22</v>
      </c>
      <c r="B24" s="72" t="s">
        <v>20</v>
      </c>
      <c r="C24" s="73">
        <v>1</v>
      </c>
      <c r="D24" s="48"/>
      <c r="E24" s="74">
        <f t="shared" si="1"/>
        <v>0</v>
      </c>
      <c r="F24" s="48">
        <v>100</v>
      </c>
      <c r="G24" s="75">
        <f t="shared" si="0"/>
        <v>5</v>
      </c>
    </row>
    <row r="25" spans="1:7" ht="14.25" customHeight="1" x14ac:dyDescent="0.3">
      <c r="A25" s="71">
        <v>23</v>
      </c>
      <c r="B25" s="72" t="s">
        <v>8</v>
      </c>
      <c r="C25" s="73">
        <v>2</v>
      </c>
      <c r="D25" s="48"/>
      <c r="E25" s="74">
        <f t="shared" si="1"/>
        <v>0</v>
      </c>
      <c r="F25" s="48">
        <v>100</v>
      </c>
      <c r="G25" s="75">
        <f t="shared" si="0"/>
        <v>5</v>
      </c>
    </row>
    <row r="26" spans="1:7" ht="14.25" customHeight="1" x14ac:dyDescent="0.3">
      <c r="A26" s="71">
        <v>24</v>
      </c>
      <c r="B26" s="72" t="s">
        <v>16</v>
      </c>
      <c r="C26" s="73"/>
      <c r="D26" s="48">
        <v>1</v>
      </c>
      <c r="E26" s="74" t="e">
        <f t="shared" si="1"/>
        <v>#DIV/0!</v>
      </c>
      <c r="F26" s="71">
        <v>0</v>
      </c>
      <c r="G26" s="76">
        <f t="shared" si="0"/>
        <v>0</v>
      </c>
    </row>
    <row r="27" spans="1:7" ht="14.25" customHeight="1" x14ac:dyDescent="0.3">
      <c r="A27" s="71">
        <v>25</v>
      </c>
      <c r="B27" s="72" t="s">
        <v>37</v>
      </c>
      <c r="C27" s="73"/>
      <c r="D27" s="48">
        <v>2</v>
      </c>
      <c r="E27" s="74" t="e">
        <f t="shared" si="1"/>
        <v>#DIV/0!</v>
      </c>
      <c r="F27" s="71">
        <v>0</v>
      </c>
      <c r="G27" s="76">
        <f t="shared" si="0"/>
        <v>0</v>
      </c>
    </row>
    <row r="28" spans="1:7" ht="14.25" customHeight="1" x14ac:dyDescent="0.3">
      <c r="A28" s="71">
        <v>26</v>
      </c>
      <c r="B28" s="72" t="s">
        <v>43</v>
      </c>
      <c r="C28" s="73"/>
      <c r="D28" s="48">
        <v>1</v>
      </c>
      <c r="E28" s="74" t="e">
        <f t="shared" si="1"/>
        <v>#DIV/0!</v>
      </c>
      <c r="F28" s="71">
        <v>0</v>
      </c>
      <c r="G28" s="76">
        <f t="shared" si="0"/>
        <v>0</v>
      </c>
    </row>
    <row r="29" spans="1:7" ht="14.25" customHeight="1" x14ac:dyDescent="0.3">
      <c r="A29" s="71">
        <v>27</v>
      </c>
      <c r="B29" s="72" t="s">
        <v>26</v>
      </c>
      <c r="C29" s="73"/>
      <c r="D29" s="48"/>
      <c r="E29" s="74" t="e">
        <f t="shared" si="1"/>
        <v>#DIV/0!</v>
      </c>
      <c r="F29" s="71">
        <v>0</v>
      </c>
      <c r="G29" s="76">
        <f t="shared" si="0"/>
        <v>0</v>
      </c>
    </row>
    <row r="30" spans="1:7" ht="14.25" customHeight="1" x14ac:dyDescent="0.3">
      <c r="A30" s="71">
        <v>28</v>
      </c>
      <c r="B30" s="72" t="s">
        <v>34</v>
      </c>
      <c r="C30" s="73"/>
      <c r="D30" s="48">
        <v>3</v>
      </c>
      <c r="E30" s="74" t="e">
        <f t="shared" si="1"/>
        <v>#DIV/0!</v>
      </c>
      <c r="F30" s="71">
        <v>0</v>
      </c>
      <c r="G30" s="76">
        <f t="shared" si="0"/>
        <v>0</v>
      </c>
    </row>
    <row r="31" spans="1:7" ht="14.25" customHeight="1" x14ac:dyDescent="0.3">
      <c r="A31" s="71">
        <v>29</v>
      </c>
      <c r="B31" s="72" t="s">
        <v>22</v>
      </c>
      <c r="C31" s="73"/>
      <c r="D31" s="48"/>
      <c r="E31" s="74" t="e">
        <f t="shared" si="1"/>
        <v>#DIV/0!</v>
      </c>
      <c r="F31" s="71">
        <v>0</v>
      </c>
      <c r="G31" s="76">
        <f t="shared" si="0"/>
        <v>0</v>
      </c>
    </row>
    <row r="32" spans="1:7" ht="14.25" customHeight="1" x14ac:dyDescent="0.3">
      <c r="A32" s="71">
        <v>30</v>
      </c>
      <c r="B32" s="72" t="s">
        <v>41</v>
      </c>
      <c r="C32" s="73"/>
      <c r="D32" s="48">
        <v>1</v>
      </c>
      <c r="E32" s="74" t="e">
        <f t="shared" si="1"/>
        <v>#DIV/0!</v>
      </c>
      <c r="F32" s="48">
        <v>100</v>
      </c>
      <c r="G32" s="75">
        <f t="shared" si="0"/>
        <v>5</v>
      </c>
    </row>
    <row r="33" spans="1:7" ht="14.25" customHeight="1" x14ac:dyDescent="0.3">
      <c r="A33" s="71">
        <v>31</v>
      </c>
      <c r="B33" s="72" t="s">
        <v>12</v>
      </c>
      <c r="C33" s="73"/>
      <c r="D33" s="48">
        <v>1</v>
      </c>
      <c r="E33" s="74" t="e">
        <f t="shared" si="1"/>
        <v>#DIV/0!</v>
      </c>
      <c r="F33" s="71">
        <v>0</v>
      </c>
      <c r="G33" s="76">
        <f t="shared" si="0"/>
        <v>0</v>
      </c>
    </row>
    <row r="34" spans="1:7" ht="14.25" customHeight="1" x14ac:dyDescent="0.3">
      <c r="A34" s="71">
        <v>32</v>
      </c>
      <c r="B34" s="72" t="s">
        <v>25</v>
      </c>
      <c r="C34" s="73"/>
      <c r="D34" s="48"/>
      <c r="E34" s="74" t="e">
        <f t="shared" si="1"/>
        <v>#DIV/0!</v>
      </c>
      <c r="F34" s="71">
        <v>0</v>
      </c>
      <c r="G34" s="76">
        <f t="shared" si="0"/>
        <v>0</v>
      </c>
    </row>
    <row r="35" spans="1:7" ht="14.25" customHeight="1" x14ac:dyDescent="0.3">
      <c r="A35" s="71">
        <v>33</v>
      </c>
      <c r="B35" s="72" t="s">
        <v>31</v>
      </c>
      <c r="C35" s="73"/>
      <c r="D35" s="48"/>
      <c r="E35" s="74" t="e">
        <f t="shared" si="1"/>
        <v>#DIV/0!</v>
      </c>
      <c r="F35" s="71">
        <v>0</v>
      </c>
      <c r="G35" s="76">
        <f t="shared" si="0"/>
        <v>0</v>
      </c>
    </row>
    <row r="36" spans="1:7" ht="14.25" customHeight="1" x14ac:dyDescent="0.3">
      <c r="A36" s="71">
        <v>34</v>
      </c>
      <c r="B36" s="72" t="s">
        <v>33</v>
      </c>
      <c r="C36" s="73"/>
      <c r="D36" s="48"/>
      <c r="E36" s="74" t="e">
        <f t="shared" si="1"/>
        <v>#DIV/0!</v>
      </c>
      <c r="F36" s="71">
        <v>0</v>
      </c>
      <c r="G36" s="76">
        <f t="shared" si="0"/>
        <v>0</v>
      </c>
    </row>
    <row r="37" spans="1:7" ht="14.25" customHeight="1" x14ac:dyDescent="0.3">
      <c r="A37" s="71">
        <v>35</v>
      </c>
      <c r="B37" s="72" t="s">
        <v>28</v>
      </c>
      <c r="C37" s="73"/>
      <c r="D37" s="48"/>
      <c r="E37" s="74" t="e">
        <f t="shared" si="1"/>
        <v>#DIV/0!</v>
      </c>
      <c r="F37" s="71">
        <v>0</v>
      </c>
      <c r="G37" s="76">
        <f t="shared" si="0"/>
        <v>0</v>
      </c>
    </row>
    <row r="38" spans="1:7" ht="14.25" customHeight="1" x14ac:dyDescent="0.3">
      <c r="A38" s="71">
        <v>36</v>
      </c>
      <c r="B38" s="72" t="s">
        <v>39</v>
      </c>
      <c r="C38" s="73"/>
      <c r="D38" s="48"/>
      <c r="E38" s="74" t="e">
        <f t="shared" si="1"/>
        <v>#DIV/0!</v>
      </c>
      <c r="F38" s="48">
        <v>100</v>
      </c>
      <c r="G38" s="75">
        <f t="shared" si="0"/>
        <v>5</v>
      </c>
    </row>
    <row r="39" spans="1:7" ht="14.25" customHeight="1" x14ac:dyDescent="0.3">
      <c r="A39" s="71">
        <v>37</v>
      </c>
      <c r="B39" s="72" t="s">
        <v>21</v>
      </c>
      <c r="C39" s="73">
        <v>1</v>
      </c>
      <c r="D39" s="48">
        <v>1</v>
      </c>
      <c r="E39" s="74">
        <f t="shared" si="1"/>
        <v>100</v>
      </c>
      <c r="F39" s="48">
        <v>100</v>
      </c>
      <c r="G39" s="75">
        <f t="shared" si="0"/>
        <v>5</v>
      </c>
    </row>
    <row r="40" spans="1:7" ht="14.25" customHeight="1" x14ac:dyDescent="0.3">
      <c r="A40" s="71">
        <v>38</v>
      </c>
      <c r="B40" s="72" t="s">
        <v>4</v>
      </c>
      <c r="C40" s="73"/>
      <c r="D40" s="48"/>
      <c r="E40" s="74" t="e">
        <f t="shared" si="1"/>
        <v>#DIV/0!</v>
      </c>
      <c r="F40" s="48">
        <v>100</v>
      </c>
      <c r="G40" s="75">
        <f t="shared" si="0"/>
        <v>5</v>
      </c>
    </row>
    <row r="41" spans="1:7" ht="14.25" customHeight="1" x14ac:dyDescent="0.3">
      <c r="A41" s="71">
        <v>39</v>
      </c>
      <c r="B41" s="72" t="s">
        <v>29</v>
      </c>
      <c r="C41" s="73">
        <v>2</v>
      </c>
      <c r="D41" s="48">
        <v>2</v>
      </c>
      <c r="E41" s="74">
        <f t="shared" si="1"/>
        <v>100</v>
      </c>
      <c r="F41" s="71">
        <v>0</v>
      </c>
      <c r="G41" s="76">
        <f t="shared" si="0"/>
        <v>0</v>
      </c>
    </row>
    <row r="42" spans="1:7" ht="14.25" customHeight="1" x14ac:dyDescent="0.3">
      <c r="A42" s="71">
        <v>40</v>
      </c>
      <c r="B42" s="72" t="s">
        <v>27</v>
      </c>
      <c r="C42" s="73">
        <v>1</v>
      </c>
      <c r="D42" s="48"/>
      <c r="E42" s="74">
        <f t="shared" si="1"/>
        <v>0</v>
      </c>
      <c r="F42" s="71">
        <v>0</v>
      </c>
      <c r="G42" s="76">
        <f t="shared" si="0"/>
        <v>0</v>
      </c>
    </row>
    <row r="43" spans="1:7" ht="18" customHeight="1" x14ac:dyDescent="0.3">
      <c r="A43" s="77" t="s">
        <v>106</v>
      </c>
      <c r="B43" s="77"/>
      <c r="C43" s="78">
        <f>SUM(C3:C42)</f>
        <v>13</v>
      </c>
      <c r="D43" s="78">
        <f>SUM(D3:D42)</f>
        <v>47</v>
      </c>
      <c r="E43" s="74"/>
      <c r="F43" s="79"/>
      <c r="G43" s="79"/>
    </row>
    <row r="44" spans="1:7" ht="15" customHeight="1" x14ac:dyDescent="0.3">
      <c r="F44" s="4"/>
    </row>
    <row r="45" spans="1:7" ht="14.25" customHeight="1" x14ac:dyDescent="0.3">
      <c r="B45" s="5" t="s">
        <v>44</v>
      </c>
      <c r="E45" s="18">
        <f>IF(C45=0,100,MIN(IFERROR(D45/C45*100,0),100))</f>
        <v>100</v>
      </c>
      <c r="F45" s="4">
        <f>E45</f>
        <v>100</v>
      </c>
      <c r="G45">
        <f>F45*5/100</f>
        <v>5</v>
      </c>
    </row>
  </sheetData>
  <mergeCells count="1">
    <mergeCell ref="A1:G1"/>
  </mergeCells>
  <conditionalFormatting sqref="A3:G42">
    <cfRule type="expression" dxfId="3" priority="2">
      <formula>AND($C3&gt;0,$D3&gt;=$C3)</formula>
    </cfRule>
  </conditionalFormatting>
  <conditionalFormatting sqref="B2:B43">
    <cfRule type="duplicateValues" dxfId="2" priority="3"/>
  </conditionalFormatting>
  <conditionalFormatting sqref="B3:B42">
    <cfRule type="duplicateValues" dxfId="1" priority="1"/>
  </conditionalFormatting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5"/>
  <sheetViews>
    <sheetView zoomScale="70" zoomScaleNormal="70" workbookViewId="0">
      <pane ySplit="2" topLeftCell="A27" activePane="bottomLeft" state="frozen"/>
      <selection pane="bottomLeft" activeCell="T17" sqref="T17"/>
    </sheetView>
  </sheetViews>
  <sheetFormatPr defaultColWidth="8.6640625" defaultRowHeight="14.4" x14ac:dyDescent="0.3"/>
  <cols>
    <col min="2" max="2" width="21.88671875" customWidth="1"/>
    <col min="3" max="3" width="13" customWidth="1"/>
    <col min="4" max="4" width="13" style="4" customWidth="1"/>
    <col min="5" max="5" width="18.33203125" style="4" customWidth="1"/>
    <col min="8" max="8" width="22.6640625" customWidth="1"/>
    <col min="9" max="11" width="10.5546875" customWidth="1"/>
  </cols>
  <sheetData>
    <row r="1" spans="1:11" ht="18" customHeight="1" x14ac:dyDescent="0.3">
      <c r="A1" s="88"/>
      <c r="B1" s="88"/>
      <c r="C1" s="134" t="s">
        <v>140</v>
      </c>
      <c r="D1" s="134"/>
      <c r="E1" s="134"/>
      <c r="F1" s="134" t="s">
        <v>141</v>
      </c>
      <c r="G1" s="134"/>
      <c r="H1" s="134"/>
      <c r="I1" s="135"/>
      <c r="J1" s="135"/>
      <c r="K1" s="135"/>
    </row>
    <row r="2" spans="1:11" ht="123" customHeight="1" x14ac:dyDescent="0.3">
      <c r="A2" s="89" t="s">
        <v>47</v>
      </c>
      <c r="B2" s="89" t="s">
        <v>94</v>
      </c>
      <c r="C2" s="89" t="s">
        <v>142</v>
      </c>
      <c r="D2" s="89" t="s">
        <v>143</v>
      </c>
      <c r="E2" s="38" t="s">
        <v>144</v>
      </c>
      <c r="F2" s="89" t="s">
        <v>142</v>
      </c>
      <c r="G2" s="89" t="s">
        <v>143</v>
      </c>
      <c r="H2" s="38" t="s">
        <v>144</v>
      </c>
      <c r="I2" s="89" t="s">
        <v>145</v>
      </c>
      <c r="J2" s="89" t="s">
        <v>146</v>
      </c>
      <c r="K2" s="89" t="s">
        <v>3</v>
      </c>
    </row>
    <row r="3" spans="1:11" ht="15" customHeight="1" x14ac:dyDescent="0.3">
      <c r="A3" s="90">
        <v>1</v>
      </c>
      <c r="B3" s="91" t="s">
        <v>169</v>
      </c>
      <c r="C3" s="92">
        <v>9</v>
      </c>
      <c r="D3" s="92">
        <v>8</v>
      </c>
      <c r="E3" s="93">
        <v>3</v>
      </c>
      <c r="F3" s="92">
        <v>0</v>
      </c>
      <c r="G3" s="92">
        <v>0</v>
      </c>
      <c r="H3" s="93">
        <v>3</v>
      </c>
      <c r="I3" s="20">
        <f t="shared" ref="I3:I43" si="0">SUM(F3:H3)</f>
        <v>3</v>
      </c>
      <c r="J3" s="22">
        <f t="shared" ref="J3:J43" si="1">IF(SUM(C3:E3)=0,100,(SUM(C3:E3)-I3)/SUM(C3:E3)*100)</f>
        <v>85</v>
      </c>
      <c r="K3" s="22">
        <f t="shared" ref="K3:K43" si="2">J3*5/100</f>
        <v>4.25</v>
      </c>
    </row>
    <row r="4" spans="1:11" ht="15" customHeight="1" x14ac:dyDescent="0.3">
      <c r="A4" s="90">
        <v>2</v>
      </c>
      <c r="B4" s="91" t="s">
        <v>175</v>
      </c>
      <c r="C4" s="94">
        <v>7</v>
      </c>
      <c r="D4" s="94">
        <v>5</v>
      </c>
      <c r="E4" s="94">
        <v>0</v>
      </c>
      <c r="F4" s="95">
        <v>0</v>
      </c>
      <c r="G4" s="95">
        <v>0</v>
      </c>
      <c r="H4" s="95">
        <v>0</v>
      </c>
      <c r="I4" s="21">
        <f t="shared" si="0"/>
        <v>0</v>
      </c>
      <c r="J4" s="25">
        <f t="shared" si="1"/>
        <v>100</v>
      </c>
      <c r="K4" s="25">
        <f t="shared" si="2"/>
        <v>5</v>
      </c>
    </row>
    <row r="5" spans="1:11" ht="15" customHeight="1" x14ac:dyDescent="0.3">
      <c r="A5" s="90">
        <v>3</v>
      </c>
      <c r="B5" s="91" t="s">
        <v>163</v>
      </c>
      <c r="C5" s="96">
        <v>3</v>
      </c>
      <c r="D5" s="96">
        <v>0</v>
      </c>
      <c r="E5" s="96">
        <v>1</v>
      </c>
      <c r="F5" s="96">
        <v>0</v>
      </c>
      <c r="G5" s="96">
        <v>0</v>
      </c>
      <c r="H5" s="96">
        <v>1</v>
      </c>
      <c r="I5" s="20">
        <f t="shared" si="0"/>
        <v>1</v>
      </c>
      <c r="J5" s="22">
        <f t="shared" si="1"/>
        <v>75</v>
      </c>
      <c r="K5" s="22">
        <f t="shared" si="2"/>
        <v>3.75</v>
      </c>
    </row>
    <row r="6" spans="1:11" ht="15" customHeight="1" x14ac:dyDescent="0.3">
      <c r="A6" s="90">
        <v>4</v>
      </c>
      <c r="B6" s="91" t="s">
        <v>152</v>
      </c>
      <c r="C6" s="96">
        <v>3</v>
      </c>
      <c r="D6" s="96">
        <v>0</v>
      </c>
      <c r="E6" s="96">
        <v>4</v>
      </c>
      <c r="F6" s="96">
        <v>0</v>
      </c>
      <c r="G6" s="96">
        <v>0</v>
      </c>
      <c r="H6" s="96">
        <v>4</v>
      </c>
      <c r="I6" s="27">
        <f t="shared" si="0"/>
        <v>4</v>
      </c>
      <c r="J6" s="28">
        <f t="shared" si="1"/>
        <v>42.857142857142854</v>
      </c>
      <c r="K6" s="28">
        <f t="shared" si="2"/>
        <v>2.1428571428571428</v>
      </c>
    </row>
    <row r="7" spans="1:11" ht="15" customHeight="1" x14ac:dyDescent="0.3">
      <c r="A7" s="90">
        <v>5</v>
      </c>
      <c r="B7" s="91" t="s">
        <v>160</v>
      </c>
      <c r="C7" s="96">
        <v>6</v>
      </c>
      <c r="D7" s="96">
        <v>1</v>
      </c>
      <c r="E7" s="96">
        <v>3</v>
      </c>
      <c r="F7" s="96">
        <v>0</v>
      </c>
      <c r="G7" s="96">
        <v>0</v>
      </c>
      <c r="H7" s="96">
        <v>3</v>
      </c>
      <c r="I7" s="20">
        <f t="shared" si="0"/>
        <v>3</v>
      </c>
      <c r="J7" s="22">
        <f t="shared" si="1"/>
        <v>70</v>
      </c>
      <c r="K7" s="22">
        <f t="shared" si="2"/>
        <v>3.5</v>
      </c>
    </row>
    <row r="8" spans="1:11" ht="15" customHeight="1" x14ac:dyDescent="0.3">
      <c r="A8" s="90">
        <v>6</v>
      </c>
      <c r="B8" s="91" t="s">
        <v>182</v>
      </c>
      <c r="C8" s="96">
        <v>1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27">
        <f t="shared" si="0"/>
        <v>0</v>
      </c>
      <c r="J8" s="28">
        <f t="shared" si="1"/>
        <v>100</v>
      </c>
      <c r="K8" s="28">
        <f t="shared" si="2"/>
        <v>5</v>
      </c>
    </row>
    <row r="9" spans="1:11" ht="15" customHeight="1" x14ac:dyDescent="0.3">
      <c r="A9" s="90">
        <v>7</v>
      </c>
      <c r="B9" s="91" t="s">
        <v>179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26">
        <f t="shared" si="0"/>
        <v>0</v>
      </c>
      <c r="J9" s="29">
        <f t="shared" si="1"/>
        <v>100</v>
      </c>
      <c r="K9" s="29">
        <f t="shared" si="2"/>
        <v>5</v>
      </c>
    </row>
    <row r="10" spans="1:11" ht="15" customHeight="1" x14ac:dyDescent="0.3">
      <c r="A10" s="90">
        <v>8</v>
      </c>
      <c r="B10" s="91" t="s">
        <v>164</v>
      </c>
      <c r="C10" s="96">
        <v>3</v>
      </c>
      <c r="D10" s="96">
        <v>1</v>
      </c>
      <c r="E10" s="96">
        <v>0</v>
      </c>
      <c r="F10" s="96">
        <v>1</v>
      </c>
      <c r="G10" s="96">
        <v>0</v>
      </c>
      <c r="H10" s="96">
        <v>0</v>
      </c>
      <c r="I10" s="20">
        <f t="shared" si="0"/>
        <v>1</v>
      </c>
      <c r="J10" s="22">
        <f t="shared" si="1"/>
        <v>75</v>
      </c>
      <c r="K10" s="22">
        <f t="shared" si="2"/>
        <v>3.75</v>
      </c>
    </row>
    <row r="11" spans="1:11" ht="15" customHeight="1" x14ac:dyDescent="0.3">
      <c r="A11" s="90">
        <v>9</v>
      </c>
      <c r="B11" s="91" t="s">
        <v>151</v>
      </c>
      <c r="C11" s="98">
        <v>3</v>
      </c>
      <c r="D11" s="98">
        <v>2</v>
      </c>
      <c r="E11" s="98">
        <v>0</v>
      </c>
      <c r="F11" s="98">
        <v>0</v>
      </c>
      <c r="G11" s="98">
        <v>1</v>
      </c>
      <c r="H11" s="98">
        <v>0</v>
      </c>
      <c r="I11" s="21">
        <f t="shared" si="0"/>
        <v>1</v>
      </c>
      <c r="J11" s="25">
        <f t="shared" si="1"/>
        <v>80</v>
      </c>
      <c r="K11" s="25">
        <f t="shared" si="2"/>
        <v>4</v>
      </c>
    </row>
    <row r="12" spans="1:11" ht="15" customHeight="1" x14ac:dyDescent="0.3">
      <c r="A12" s="90">
        <v>10</v>
      </c>
      <c r="B12" s="91" t="s">
        <v>162</v>
      </c>
      <c r="C12" s="96">
        <v>4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24">
        <f t="shared" si="0"/>
        <v>0</v>
      </c>
      <c r="J12" s="30">
        <f t="shared" si="1"/>
        <v>100</v>
      </c>
      <c r="K12" s="30">
        <f t="shared" si="2"/>
        <v>5</v>
      </c>
    </row>
    <row r="13" spans="1:11" ht="15" customHeight="1" x14ac:dyDescent="0.3">
      <c r="A13" s="90">
        <v>11</v>
      </c>
      <c r="B13" s="99" t="s">
        <v>173</v>
      </c>
      <c r="C13" s="100">
        <v>10</v>
      </c>
      <c r="D13" s="100">
        <v>5</v>
      </c>
      <c r="E13" s="100">
        <v>2</v>
      </c>
      <c r="F13" s="100">
        <v>0</v>
      </c>
      <c r="G13" s="100">
        <v>0</v>
      </c>
      <c r="H13" s="100">
        <v>0</v>
      </c>
      <c r="I13" s="20">
        <f t="shared" si="0"/>
        <v>0</v>
      </c>
      <c r="J13" s="22">
        <f t="shared" si="1"/>
        <v>100</v>
      </c>
      <c r="K13" s="22">
        <f t="shared" si="2"/>
        <v>5</v>
      </c>
    </row>
    <row r="14" spans="1:11" ht="15" customHeight="1" x14ac:dyDescent="0.3">
      <c r="A14" s="90">
        <v>12</v>
      </c>
      <c r="B14" s="99" t="s">
        <v>161</v>
      </c>
      <c r="C14" s="100">
        <v>11</v>
      </c>
      <c r="D14" s="100">
        <v>7</v>
      </c>
      <c r="E14" s="100">
        <v>2</v>
      </c>
      <c r="F14" s="101">
        <v>3</v>
      </c>
      <c r="G14" s="100">
        <v>0</v>
      </c>
      <c r="H14" s="100">
        <v>2</v>
      </c>
      <c r="I14" s="21">
        <f t="shared" si="0"/>
        <v>5</v>
      </c>
      <c r="J14" s="25">
        <f t="shared" si="1"/>
        <v>75</v>
      </c>
      <c r="K14" s="25">
        <f t="shared" si="2"/>
        <v>3.75</v>
      </c>
    </row>
    <row r="15" spans="1:11" ht="15" customHeight="1" x14ac:dyDescent="0.3">
      <c r="A15" s="90">
        <v>13</v>
      </c>
      <c r="B15" s="102" t="s">
        <v>167</v>
      </c>
      <c r="C15" s="103">
        <v>10</v>
      </c>
      <c r="D15" s="103">
        <v>2</v>
      </c>
      <c r="E15" s="103">
        <v>4</v>
      </c>
      <c r="F15" s="103">
        <v>1</v>
      </c>
      <c r="G15" s="103">
        <v>0</v>
      </c>
      <c r="H15" s="103">
        <v>2</v>
      </c>
      <c r="I15" s="21">
        <f t="shared" si="0"/>
        <v>3</v>
      </c>
      <c r="J15" s="25">
        <f t="shared" si="1"/>
        <v>81.25</v>
      </c>
      <c r="K15" s="25">
        <f t="shared" si="2"/>
        <v>4.0625</v>
      </c>
    </row>
    <row r="16" spans="1:11" ht="15" customHeight="1" x14ac:dyDescent="0.3">
      <c r="A16" s="90">
        <v>14</v>
      </c>
      <c r="B16" s="99" t="s">
        <v>176</v>
      </c>
      <c r="C16" s="100">
        <v>6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21">
        <f t="shared" si="0"/>
        <v>0</v>
      </c>
      <c r="J16" s="25">
        <f t="shared" si="1"/>
        <v>100</v>
      </c>
      <c r="K16" s="25">
        <f t="shared" si="2"/>
        <v>5</v>
      </c>
    </row>
    <row r="17" spans="1:11" ht="15" customHeight="1" x14ac:dyDescent="0.3">
      <c r="A17" s="90">
        <v>15</v>
      </c>
      <c r="B17" s="102" t="s">
        <v>159</v>
      </c>
      <c r="C17" s="103">
        <v>6</v>
      </c>
      <c r="D17" s="103">
        <v>2</v>
      </c>
      <c r="E17" s="103">
        <v>5</v>
      </c>
      <c r="F17" s="103">
        <v>1</v>
      </c>
      <c r="G17" s="103">
        <v>0</v>
      </c>
      <c r="H17" s="103">
        <v>4</v>
      </c>
      <c r="I17" s="24">
        <f t="shared" si="0"/>
        <v>5</v>
      </c>
      <c r="J17" s="30">
        <f t="shared" si="1"/>
        <v>61.53846153846154</v>
      </c>
      <c r="K17" s="30">
        <f t="shared" si="2"/>
        <v>3.0769230769230766</v>
      </c>
    </row>
    <row r="18" spans="1:11" ht="15" customHeight="1" x14ac:dyDescent="0.3">
      <c r="A18" s="90">
        <v>16</v>
      </c>
      <c r="B18" s="104" t="s">
        <v>172</v>
      </c>
      <c r="C18" s="105">
        <v>15</v>
      </c>
      <c r="D18" s="105">
        <v>0</v>
      </c>
      <c r="E18" s="105">
        <v>1</v>
      </c>
      <c r="F18" s="105">
        <v>0</v>
      </c>
      <c r="G18" s="105">
        <v>0</v>
      </c>
      <c r="H18" s="105">
        <v>1</v>
      </c>
      <c r="I18" s="24">
        <f t="shared" si="0"/>
        <v>1</v>
      </c>
      <c r="J18" s="30">
        <f t="shared" si="1"/>
        <v>93.75</v>
      </c>
      <c r="K18" s="30">
        <f t="shared" si="2"/>
        <v>4.6875</v>
      </c>
    </row>
    <row r="19" spans="1:11" ht="15" customHeight="1" x14ac:dyDescent="0.3">
      <c r="A19" s="90">
        <v>17</v>
      </c>
      <c r="B19" s="104" t="s">
        <v>149</v>
      </c>
      <c r="C19" s="106">
        <v>2</v>
      </c>
      <c r="D19" s="106">
        <v>0</v>
      </c>
      <c r="E19" s="106">
        <v>5</v>
      </c>
      <c r="F19" s="107">
        <v>0</v>
      </c>
      <c r="G19" s="107">
        <v>0</v>
      </c>
      <c r="H19" s="107">
        <v>5</v>
      </c>
      <c r="I19" s="24">
        <f t="shared" si="0"/>
        <v>5</v>
      </c>
      <c r="J19" s="30">
        <f t="shared" si="1"/>
        <v>28.571428571428569</v>
      </c>
      <c r="K19" s="30">
        <f t="shared" si="2"/>
        <v>1.4285714285714284</v>
      </c>
    </row>
    <row r="20" spans="1:11" ht="15" customHeight="1" x14ac:dyDescent="0.3">
      <c r="A20" s="90">
        <v>18</v>
      </c>
      <c r="B20" s="104" t="s">
        <v>29</v>
      </c>
      <c r="C20" s="94">
        <v>1</v>
      </c>
      <c r="D20" s="94">
        <v>0</v>
      </c>
      <c r="E20" s="94">
        <v>3</v>
      </c>
      <c r="F20" s="94">
        <v>0</v>
      </c>
      <c r="G20" s="94">
        <v>0</v>
      </c>
      <c r="H20" s="94">
        <v>3</v>
      </c>
      <c r="I20" s="24">
        <f t="shared" si="0"/>
        <v>3</v>
      </c>
      <c r="J20" s="30">
        <f t="shared" si="1"/>
        <v>25</v>
      </c>
      <c r="K20" s="30">
        <f t="shared" si="2"/>
        <v>1.25</v>
      </c>
    </row>
    <row r="21" spans="1:11" ht="15" customHeight="1" x14ac:dyDescent="0.3">
      <c r="A21" s="90">
        <v>19</v>
      </c>
      <c r="B21" s="104" t="s">
        <v>147</v>
      </c>
      <c r="C21" s="94">
        <v>0</v>
      </c>
      <c r="D21" s="94">
        <v>0</v>
      </c>
      <c r="E21" s="94">
        <v>1</v>
      </c>
      <c r="F21" s="94">
        <v>0</v>
      </c>
      <c r="G21" s="94">
        <v>0</v>
      </c>
      <c r="H21" s="94">
        <v>1</v>
      </c>
      <c r="I21" s="26">
        <f t="shared" si="0"/>
        <v>1</v>
      </c>
      <c r="J21" s="29">
        <f t="shared" si="1"/>
        <v>0</v>
      </c>
      <c r="K21" s="29">
        <f t="shared" si="2"/>
        <v>0</v>
      </c>
    </row>
    <row r="22" spans="1:11" ht="15" customHeight="1" x14ac:dyDescent="0.3">
      <c r="A22" s="90">
        <v>20</v>
      </c>
      <c r="B22" s="104" t="s">
        <v>43</v>
      </c>
      <c r="C22" s="92">
        <v>0</v>
      </c>
      <c r="D22" s="92">
        <v>0</v>
      </c>
      <c r="E22" s="92">
        <v>1</v>
      </c>
      <c r="F22" s="92">
        <v>0</v>
      </c>
      <c r="G22" s="92">
        <v>0</v>
      </c>
      <c r="H22" s="92">
        <v>1</v>
      </c>
      <c r="I22" s="20">
        <f t="shared" si="0"/>
        <v>1</v>
      </c>
      <c r="J22" s="22">
        <f t="shared" si="1"/>
        <v>0</v>
      </c>
      <c r="K22" s="22">
        <f t="shared" si="2"/>
        <v>0</v>
      </c>
    </row>
    <row r="23" spans="1:11" ht="15" customHeight="1" x14ac:dyDescent="0.3">
      <c r="A23" s="90">
        <v>21</v>
      </c>
      <c r="B23" s="104" t="s">
        <v>183</v>
      </c>
      <c r="C23" s="108">
        <v>2</v>
      </c>
      <c r="D23" s="108">
        <v>0</v>
      </c>
      <c r="E23" s="108">
        <v>0</v>
      </c>
      <c r="F23" s="108">
        <v>0</v>
      </c>
      <c r="G23" s="108">
        <v>0</v>
      </c>
      <c r="H23" s="108">
        <v>0</v>
      </c>
      <c r="I23" s="23">
        <f t="shared" si="0"/>
        <v>0</v>
      </c>
      <c r="J23" s="31">
        <f t="shared" si="1"/>
        <v>100</v>
      </c>
      <c r="K23" s="31">
        <f t="shared" si="2"/>
        <v>5</v>
      </c>
    </row>
    <row r="24" spans="1:11" ht="15" customHeight="1" x14ac:dyDescent="0.3">
      <c r="A24" s="90">
        <v>22</v>
      </c>
      <c r="B24" s="104" t="s">
        <v>156</v>
      </c>
      <c r="C24" s="108">
        <v>3</v>
      </c>
      <c r="D24" s="108">
        <v>0</v>
      </c>
      <c r="E24" s="108">
        <v>2</v>
      </c>
      <c r="F24" s="108">
        <v>0</v>
      </c>
      <c r="G24" s="108">
        <v>0</v>
      </c>
      <c r="H24" s="108">
        <v>2</v>
      </c>
      <c r="I24" s="20">
        <f t="shared" si="0"/>
        <v>2</v>
      </c>
      <c r="J24" s="22">
        <f t="shared" si="1"/>
        <v>60</v>
      </c>
      <c r="K24" s="22">
        <f t="shared" si="2"/>
        <v>3</v>
      </c>
    </row>
    <row r="25" spans="1:11" ht="15" customHeight="1" x14ac:dyDescent="0.3">
      <c r="A25" s="90">
        <v>23</v>
      </c>
      <c r="B25" s="109" t="s">
        <v>174</v>
      </c>
      <c r="C25" s="95">
        <v>8</v>
      </c>
      <c r="D25" s="95">
        <v>2</v>
      </c>
      <c r="E25" s="95">
        <v>0</v>
      </c>
      <c r="F25" s="95">
        <v>0</v>
      </c>
      <c r="G25" s="95">
        <v>0</v>
      </c>
      <c r="H25" s="95">
        <v>0</v>
      </c>
      <c r="I25" s="20">
        <f t="shared" si="0"/>
        <v>0</v>
      </c>
      <c r="J25" s="22">
        <f t="shared" si="1"/>
        <v>100</v>
      </c>
      <c r="K25" s="22">
        <f t="shared" si="2"/>
        <v>5</v>
      </c>
    </row>
    <row r="26" spans="1:11" ht="15" customHeight="1" x14ac:dyDescent="0.3">
      <c r="A26" s="90">
        <v>24</v>
      </c>
      <c r="B26" s="109" t="s">
        <v>168</v>
      </c>
      <c r="C26" s="95">
        <v>11</v>
      </c>
      <c r="D26" s="95">
        <v>13</v>
      </c>
      <c r="E26" s="95">
        <v>5</v>
      </c>
      <c r="F26" s="95">
        <v>0</v>
      </c>
      <c r="G26" s="95">
        <v>0</v>
      </c>
      <c r="H26" s="100">
        <v>5</v>
      </c>
      <c r="I26" s="27">
        <f t="shared" si="0"/>
        <v>5</v>
      </c>
      <c r="J26" s="28">
        <f t="shared" si="1"/>
        <v>82.758620689655174</v>
      </c>
      <c r="K26" s="28">
        <f t="shared" si="2"/>
        <v>4.1379310344827589</v>
      </c>
    </row>
    <row r="27" spans="1:11" ht="15" customHeight="1" x14ac:dyDescent="0.3">
      <c r="A27" s="90">
        <v>25</v>
      </c>
      <c r="B27" s="109" t="s">
        <v>181</v>
      </c>
      <c r="C27" s="94">
        <v>3</v>
      </c>
      <c r="D27" s="94">
        <v>0</v>
      </c>
      <c r="E27" s="94">
        <v>0</v>
      </c>
      <c r="F27" s="94">
        <v>0</v>
      </c>
      <c r="G27" s="94">
        <v>0</v>
      </c>
      <c r="H27" s="101">
        <v>0</v>
      </c>
      <c r="I27" s="26">
        <f t="shared" si="0"/>
        <v>0</v>
      </c>
      <c r="J27" s="22">
        <f t="shared" si="1"/>
        <v>100</v>
      </c>
      <c r="K27" s="22">
        <f t="shared" si="2"/>
        <v>5</v>
      </c>
    </row>
    <row r="28" spans="1:11" ht="15" customHeight="1" x14ac:dyDescent="0.3">
      <c r="A28" s="90">
        <v>26</v>
      </c>
      <c r="B28" s="109" t="s">
        <v>180</v>
      </c>
      <c r="C28" s="94">
        <v>3</v>
      </c>
      <c r="D28" s="94">
        <v>0</v>
      </c>
      <c r="E28" s="94">
        <v>0</v>
      </c>
      <c r="F28" s="94">
        <v>0</v>
      </c>
      <c r="G28" s="94">
        <v>0</v>
      </c>
      <c r="H28" s="101">
        <v>0</v>
      </c>
      <c r="I28" s="24">
        <f t="shared" si="0"/>
        <v>0</v>
      </c>
      <c r="J28" s="30">
        <f t="shared" si="1"/>
        <v>100</v>
      </c>
      <c r="K28" s="30">
        <f t="shared" si="2"/>
        <v>5</v>
      </c>
    </row>
    <row r="29" spans="1:11" ht="15" customHeight="1" x14ac:dyDescent="0.3">
      <c r="A29" s="90">
        <v>27</v>
      </c>
      <c r="B29" s="109" t="s">
        <v>178</v>
      </c>
      <c r="C29" s="94">
        <v>2</v>
      </c>
      <c r="D29" s="94">
        <v>3</v>
      </c>
      <c r="E29" s="94">
        <v>0</v>
      </c>
      <c r="F29" s="94">
        <v>0</v>
      </c>
      <c r="G29" s="94">
        <v>0</v>
      </c>
      <c r="H29" s="101">
        <v>0</v>
      </c>
      <c r="I29" s="24">
        <f t="shared" si="0"/>
        <v>0</v>
      </c>
      <c r="J29" s="30">
        <f t="shared" si="1"/>
        <v>100</v>
      </c>
      <c r="K29" s="30">
        <f t="shared" si="2"/>
        <v>5</v>
      </c>
    </row>
    <row r="30" spans="1:11" ht="15" customHeight="1" x14ac:dyDescent="0.3">
      <c r="A30" s="90">
        <v>28</v>
      </c>
      <c r="B30" s="109" t="s">
        <v>165</v>
      </c>
      <c r="C30" s="94">
        <v>3</v>
      </c>
      <c r="D30" s="94">
        <v>0</v>
      </c>
      <c r="E30" s="94">
        <v>1</v>
      </c>
      <c r="F30" s="94">
        <v>0</v>
      </c>
      <c r="G30" s="94">
        <v>0</v>
      </c>
      <c r="H30" s="101">
        <v>1</v>
      </c>
      <c r="I30" s="27">
        <f t="shared" si="0"/>
        <v>1</v>
      </c>
      <c r="J30" s="28">
        <f t="shared" si="1"/>
        <v>75</v>
      </c>
      <c r="K30" s="28">
        <f t="shared" si="2"/>
        <v>3.75</v>
      </c>
    </row>
    <row r="31" spans="1:11" ht="15" customHeight="1" x14ac:dyDescent="0.3">
      <c r="A31" s="90">
        <v>29</v>
      </c>
      <c r="B31" s="109" t="s">
        <v>30</v>
      </c>
      <c r="C31" s="94">
        <v>2</v>
      </c>
      <c r="D31" s="94">
        <v>3</v>
      </c>
      <c r="E31" s="94">
        <v>0</v>
      </c>
      <c r="F31" s="94">
        <v>0</v>
      </c>
      <c r="G31" s="94">
        <v>0</v>
      </c>
      <c r="H31" s="101">
        <v>0</v>
      </c>
      <c r="I31" s="20">
        <f t="shared" si="0"/>
        <v>0</v>
      </c>
      <c r="J31" s="29">
        <f t="shared" si="1"/>
        <v>100</v>
      </c>
      <c r="K31" s="30">
        <f t="shared" si="2"/>
        <v>5</v>
      </c>
    </row>
    <row r="32" spans="1:11" ht="15" customHeight="1" x14ac:dyDescent="0.3">
      <c r="A32" s="90">
        <v>30</v>
      </c>
      <c r="B32" s="109" t="s">
        <v>150</v>
      </c>
      <c r="C32" s="94">
        <v>7</v>
      </c>
      <c r="D32" s="94">
        <v>2</v>
      </c>
      <c r="E32" s="94">
        <v>3</v>
      </c>
      <c r="F32" s="94">
        <v>5</v>
      </c>
      <c r="G32" s="94">
        <v>0</v>
      </c>
      <c r="H32" s="101">
        <v>3</v>
      </c>
      <c r="I32" s="24">
        <f t="shared" si="0"/>
        <v>8</v>
      </c>
      <c r="J32" s="30">
        <f t="shared" si="1"/>
        <v>33.333333333333329</v>
      </c>
      <c r="K32" s="30">
        <f t="shared" si="2"/>
        <v>1.6666666666666663</v>
      </c>
    </row>
    <row r="33" spans="1:11" ht="15" customHeight="1" x14ac:dyDescent="0.3">
      <c r="A33" s="90">
        <v>31</v>
      </c>
      <c r="B33" s="109" t="s">
        <v>170</v>
      </c>
      <c r="C33" s="94">
        <v>3</v>
      </c>
      <c r="D33" s="94">
        <v>2</v>
      </c>
      <c r="E33" s="94">
        <v>2</v>
      </c>
      <c r="F33" s="94">
        <v>0</v>
      </c>
      <c r="G33" s="94">
        <v>0</v>
      </c>
      <c r="H33" s="101">
        <v>1</v>
      </c>
      <c r="I33" s="24">
        <f t="shared" si="0"/>
        <v>1</v>
      </c>
      <c r="J33" s="30">
        <f t="shared" si="1"/>
        <v>85.714285714285708</v>
      </c>
      <c r="K33" s="30">
        <f t="shared" si="2"/>
        <v>4.2857142857142856</v>
      </c>
    </row>
    <row r="34" spans="1:11" ht="15" customHeight="1" x14ac:dyDescent="0.3">
      <c r="A34" s="90">
        <v>32</v>
      </c>
      <c r="B34" s="109" t="s">
        <v>171</v>
      </c>
      <c r="C34" s="110">
        <v>11</v>
      </c>
      <c r="D34" s="110">
        <v>5</v>
      </c>
      <c r="E34" s="110">
        <v>3</v>
      </c>
      <c r="F34" s="110">
        <v>0</v>
      </c>
      <c r="G34" s="110">
        <v>0</v>
      </c>
      <c r="H34" s="110">
        <v>2</v>
      </c>
      <c r="I34" s="24">
        <f t="shared" si="0"/>
        <v>2</v>
      </c>
      <c r="J34" s="30">
        <f t="shared" si="1"/>
        <v>89.473684210526315</v>
      </c>
      <c r="K34" s="30">
        <f t="shared" si="2"/>
        <v>4.4736842105263159</v>
      </c>
    </row>
    <row r="35" spans="1:11" ht="15" customHeight="1" x14ac:dyDescent="0.3">
      <c r="A35" s="90">
        <v>33</v>
      </c>
      <c r="B35" s="109" t="s">
        <v>177</v>
      </c>
      <c r="C35" s="94">
        <v>6</v>
      </c>
      <c r="D35" s="94">
        <v>2</v>
      </c>
      <c r="E35" s="94">
        <v>1</v>
      </c>
      <c r="F35" s="94">
        <v>0</v>
      </c>
      <c r="G35" s="94">
        <v>0</v>
      </c>
      <c r="H35" s="94">
        <v>0</v>
      </c>
      <c r="I35" s="27">
        <f t="shared" si="0"/>
        <v>0</v>
      </c>
      <c r="J35" s="28">
        <f t="shared" si="1"/>
        <v>100</v>
      </c>
      <c r="K35" s="28">
        <f t="shared" si="2"/>
        <v>5</v>
      </c>
    </row>
    <row r="36" spans="1:11" ht="15" customHeight="1" x14ac:dyDescent="0.3">
      <c r="A36" s="90">
        <v>34</v>
      </c>
      <c r="B36" s="111" t="s">
        <v>166</v>
      </c>
      <c r="C36" s="94">
        <v>3</v>
      </c>
      <c r="D36" s="95">
        <v>0</v>
      </c>
      <c r="E36" s="95">
        <v>2</v>
      </c>
      <c r="F36" s="95">
        <v>0</v>
      </c>
      <c r="G36" s="95">
        <v>0</v>
      </c>
      <c r="H36" s="95">
        <v>1</v>
      </c>
      <c r="I36" s="21">
        <f t="shared" si="0"/>
        <v>1</v>
      </c>
      <c r="J36" s="25">
        <f t="shared" si="1"/>
        <v>80</v>
      </c>
      <c r="K36" s="25">
        <f t="shared" si="2"/>
        <v>4</v>
      </c>
    </row>
    <row r="37" spans="1:11" ht="15" customHeight="1" x14ac:dyDescent="0.3">
      <c r="A37" s="90">
        <v>35</v>
      </c>
      <c r="B37" s="112" t="s">
        <v>153</v>
      </c>
      <c r="C37" s="113">
        <v>3</v>
      </c>
      <c r="D37" s="95">
        <v>0</v>
      </c>
      <c r="E37" s="113">
        <v>3</v>
      </c>
      <c r="F37" s="114">
        <v>0</v>
      </c>
      <c r="G37" s="95">
        <v>0</v>
      </c>
      <c r="H37" s="95">
        <v>3</v>
      </c>
      <c r="I37" s="21">
        <f t="shared" si="0"/>
        <v>3</v>
      </c>
      <c r="J37" s="25">
        <f t="shared" si="1"/>
        <v>50</v>
      </c>
      <c r="K37" s="25">
        <f t="shared" si="2"/>
        <v>2.5</v>
      </c>
    </row>
    <row r="38" spans="1:11" ht="15" customHeight="1" x14ac:dyDescent="0.3">
      <c r="A38" s="90">
        <v>36</v>
      </c>
      <c r="B38" s="111" t="s">
        <v>158</v>
      </c>
      <c r="C38" s="115">
        <v>6</v>
      </c>
      <c r="D38" s="115">
        <v>0</v>
      </c>
      <c r="E38" s="115">
        <v>2</v>
      </c>
      <c r="F38" s="115">
        <v>1</v>
      </c>
      <c r="G38" s="115">
        <v>0</v>
      </c>
      <c r="H38" s="115">
        <v>2</v>
      </c>
      <c r="I38" s="20">
        <f t="shared" si="0"/>
        <v>3</v>
      </c>
      <c r="J38" s="22">
        <f t="shared" si="1"/>
        <v>62.5</v>
      </c>
      <c r="K38" s="22">
        <f t="shared" si="2"/>
        <v>3.125</v>
      </c>
    </row>
    <row r="39" spans="1:11" ht="15" customHeight="1" x14ac:dyDescent="0.3">
      <c r="A39" s="90">
        <v>37</v>
      </c>
      <c r="B39" s="116" t="s">
        <v>154</v>
      </c>
      <c r="C39" s="92">
        <v>1</v>
      </c>
      <c r="D39" s="94">
        <v>0</v>
      </c>
      <c r="E39" s="92">
        <v>1</v>
      </c>
      <c r="F39" s="94">
        <v>0</v>
      </c>
      <c r="G39" s="94">
        <v>0</v>
      </c>
      <c r="H39" s="92">
        <v>1</v>
      </c>
      <c r="I39" s="24">
        <f t="shared" si="0"/>
        <v>1</v>
      </c>
      <c r="J39" s="30">
        <f t="shared" si="1"/>
        <v>50</v>
      </c>
      <c r="K39" s="30">
        <f t="shared" si="2"/>
        <v>2.5</v>
      </c>
    </row>
    <row r="40" spans="1:11" ht="15" customHeight="1" x14ac:dyDescent="0.3">
      <c r="A40" s="90">
        <v>38</v>
      </c>
      <c r="B40" s="117" t="s">
        <v>148</v>
      </c>
      <c r="C40" s="118">
        <v>0</v>
      </c>
      <c r="D40" s="118">
        <v>2</v>
      </c>
      <c r="E40" s="118">
        <v>1</v>
      </c>
      <c r="F40" s="94">
        <v>0</v>
      </c>
      <c r="G40" s="94">
        <v>2</v>
      </c>
      <c r="H40" s="93">
        <v>1</v>
      </c>
      <c r="I40" s="27">
        <f t="shared" si="0"/>
        <v>3</v>
      </c>
      <c r="J40" s="28">
        <f t="shared" si="1"/>
        <v>0</v>
      </c>
      <c r="K40" s="28">
        <f t="shared" si="2"/>
        <v>0</v>
      </c>
    </row>
    <row r="41" spans="1:11" ht="15" customHeight="1" x14ac:dyDescent="0.3">
      <c r="A41" s="90">
        <v>39</v>
      </c>
      <c r="B41" s="109" t="s">
        <v>157</v>
      </c>
      <c r="C41" s="94">
        <v>5</v>
      </c>
      <c r="D41" s="95">
        <v>1</v>
      </c>
      <c r="E41" s="95">
        <v>2</v>
      </c>
      <c r="F41" s="95">
        <v>1</v>
      </c>
      <c r="G41" s="95">
        <v>0</v>
      </c>
      <c r="H41" s="95">
        <v>2</v>
      </c>
      <c r="I41" s="21">
        <f t="shared" si="0"/>
        <v>3</v>
      </c>
      <c r="J41" s="25">
        <f t="shared" si="1"/>
        <v>62.5</v>
      </c>
      <c r="K41" s="25">
        <f t="shared" si="2"/>
        <v>3.125</v>
      </c>
    </row>
    <row r="42" spans="1:11" ht="15" customHeight="1" x14ac:dyDescent="0.3">
      <c r="A42" s="90">
        <v>40</v>
      </c>
      <c r="B42" s="109" t="s">
        <v>155</v>
      </c>
      <c r="C42" s="94">
        <v>7</v>
      </c>
      <c r="D42" s="95">
        <v>2</v>
      </c>
      <c r="E42" s="94">
        <v>5</v>
      </c>
      <c r="F42" s="95">
        <v>1</v>
      </c>
      <c r="G42" s="94">
        <v>0</v>
      </c>
      <c r="H42" s="95">
        <v>5</v>
      </c>
      <c r="I42" s="20">
        <f t="shared" si="0"/>
        <v>6</v>
      </c>
      <c r="J42" s="22">
        <f t="shared" si="1"/>
        <v>57.142857142857139</v>
      </c>
      <c r="K42" s="22">
        <f t="shared" si="2"/>
        <v>2.8571428571428568</v>
      </c>
    </row>
    <row r="43" spans="1:11" ht="15" customHeight="1" x14ac:dyDescent="0.3">
      <c r="A43" s="20"/>
      <c r="B43" s="20"/>
      <c r="C43" s="20">
        <v>189</v>
      </c>
      <c r="D43" s="20">
        <v>70</v>
      </c>
      <c r="E43" s="20">
        <v>68</v>
      </c>
      <c r="F43" s="20">
        <v>14</v>
      </c>
      <c r="G43" s="32">
        <v>3</v>
      </c>
      <c r="H43" s="20">
        <v>59</v>
      </c>
      <c r="I43" s="20">
        <f t="shared" si="0"/>
        <v>76</v>
      </c>
      <c r="J43" s="22">
        <f t="shared" si="1"/>
        <v>76.758409785932727</v>
      </c>
      <c r="K43" s="22">
        <f t="shared" si="2"/>
        <v>3.8379204892966361</v>
      </c>
    </row>
    <row r="44" spans="1:11" ht="1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33"/>
      <c r="K44" s="19"/>
    </row>
    <row r="45" spans="1:11" ht="14.25" customHeight="1" x14ac:dyDescent="0.3">
      <c r="A45" s="19"/>
      <c r="B45" s="5" t="s">
        <v>44</v>
      </c>
      <c r="C45" s="19"/>
      <c r="D45" s="19"/>
      <c r="E45" s="19"/>
      <c r="F45" s="19"/>
      <c r="G45" s="19"/>
      <c r="H45" s="19"/>
      <c r="I45" s="19"/>
      <c r="J45" s="33"/>
      <c r="K45" s="19"/>
    </row>
  </sheetData>
  <mergeCells count="3">
    <mergeCell ref="C1:E1"/>
    <mergeCell ref="F1:H1"/>
    <mergeCell ref="I1:K1"/>
  </mergeCells>
  <conditionalFormatting sqref="A3:A42 I3:K42 A43:K43">
    <cfRule type="expression" dxfId="0" priority="1">
      <formula>AND(SUM($C3:$E3)&gt;0,$I3=0)</formula>
    </cfRule>
  </conditionalFormatting>
  <pageMargins left="0.25" right="0.25" top="0.75" bottom="0.75" header="0.3" footer="0.3"/>
  <pageSetup paperSize="9" scale="90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DFF8-4541-43EB-8A67-E494C8A31C1A}">
  <dimension ref="A2:E43"/>
  <sheetViews>
    <sheetView tabSelected="1" workbookViewId="0">
      <selection activeCell="H21" sqref="H21"/>
    </sheetView>
  </sheetViews>
  <sheetFormatPr defaultRowHeight="14.4" x14ac:dyDescent="0.3"/>
  <cols>
    <col min="1" max="1" width="36.33203125" customWidth="1"/>
    <col min="2" max="2" width="17" customWidth="1"/>
    <col min="3" max="3" width="12.109375" customWidth="1"/>
    <col min="4" max="4" width="17.6640625" customWidth="1"/>
    <col min="5" max="5" width="28" customWidth="1"/>
  </cols>
  <sheetData>
    <row r="2" spans="1:5" ht="72" x14ac:dyDescent="0.3">
      <c r="A2" s="83" t="s">
        <v>193</v>
      </c>
      <c r="B2" s="83" t="s">
        <v>194</v>
      </c>
      <c r="C2" s="83" t="s">
        <v>195</v>
      </c>
      <c r="D2" s="83" t="s">
        <v>196</v>
      </c>
      <c r="E2" s="83" t="s">
        <v>197</v>
      </c>
    </row>
    <row r="3" spans="1:5" ht="15.6" x14ac:dyDescent="0.3">
      <c r="A3" s="84" t="s">
        <v>110</v>
      </c>
      <c r="B3" s="85">
        <v>10</v>
      </c>
      <c r="C3" s="85">
        <v>3</v>
      </c>
      <c r="D3" s="85" t="s">
        <v>198</v>
      </c>
      <c r="E3" s="85">
        <v>7</v>
      </c>
    </row>
    <row r="4" spans="1:5" ht="15.6" x14ac:dyDescent="0.3">
      <c r="A4" s="84" t="s">
        <v>107</v>
      </c>
      <c r="B4" s="85">
        <v>3</v>
      </c>
      <c r="C4" s="85">
        <v>0</v>
      </c>
      <c r="D4" s="85" t="s">
        <v>199</v>
      </c>
      <c r="E4" s="85">
        <v>3</v>
      </c>
    </row>
    <row r="5" spans="1:5" ht="15.6" x14ac:dyDescent="0.3">
      <c r="A5" s="84" t="s">
        <v>112</v>
      </c>
      <c r="B5" s="85">
        <v>8</v>
      </c>
      <c r="C5" s="85">
        <v>3</v>
      </c>
      <c r="D5" s="85" t="s">
        <v>200</v>
      </c>
      <c r="E5" s="85">
        <v>5</v>
      </c>
    </row>
    <row r="6" spans="1:5" ht="15.6" x14ac:dyDescent="0.3">
      <c r="A6" s="84" t="s">
        <v>113</v>
      </c>
      <c r="B6" s="85">
        <v>34</v>
      </c>
      <c r="C6" s="85">
        <v>14</v>
      </c>
      <c r="D6" s="85" t="s">
        <v>201</v>
      </c>
      <c r="E6" s="85">
        <v>20</v>
      </c>
    </row>
    <row r="7" spans="1:5" ht="15.6" x14ac:dyDescent="0.3">
      <c r="A7" s="84" t="s">
        <v>120</v>
      </c>
      <c r="B7" s="85">
        <v>21</v>
      </c>
      <c r="C7" s="85">
        <v>11</v>
      </c>
      <c r="D7" s="85" t="s">
        <v>202</v>
      </c>
      <c r="E7" s="85">
        <v>10</v>
      </c>
    </row>
    <row r="8" spans="1:5" ht="15.6" x14ac:dyDescent="0.3">
      <c r="A8" s="84" t="s">
        <v>134</v>
      </c>
      <c r="B8" s="85">
        <v>13</v>
      </c>
      <c r="C8" s="85">
        <v>11</v>
      </c>
      <c r="D8" s="85" t="s">
        <v>203</v>
      </c>
      <c r="E8" s="85">
        <v>2</v>
      </c>
    </row>
    <row r="9" spans="1:5" ht="15.6" x14ac:dyDescent="0.3">
      <c r="A9" s="84" t="s">
        <v>69</v>
      </c>
      <c r="B9" s="85">
        <v>16</v>
      </c>
      <c r="C9" s="85">
        <v>6</v>
      </c>
      <c r="D9" s="85" t="s">
        <v>200</v>
      </c>
      <c r="E9" s="85">
        <v>10</v>
      </c>
    </row>
    <row r="10" spans="1:5" ht="15.6" x14ac:dyDescent="0.3">
      <c r="A10" s="84" t="s">
        <v>128</v>
      </c>
      <c r="B10" s="85">
        <v>157</v>
      </c>
      <c r="C10" s="85">
        <v>94</v>
      </c>
      <c r="D10" s="85" t="s">
        <v>204</v>
      </c>
      <c r="E10" s="85">
        <v>63</v>
      </c>
    </row>
    <row r="11" spans="1:5" ht="15.6" x14ac:dyDescent="0.3">
      <c r="A11" s="84" t="s">
        <v>132</v>
      </c>
      <c r="B11" s="85">
        <v>18</v>
      </c>
      <c r="C11" s="85">
        <v>12</v>
      </c>
      <c r="D11" s="85" t="s">
        <v>205</v>
      </c>
      <c r="E11" s="85">
        <v>6</v>
      </c>
    </row>
    <row r="12" spans="1:5" ht="15.6" x14ac:dyDescent="0.3">
      <c r="A12" s="84" t="s">
        <v>67</v>
      </c>
      <c r="B12" s="85">
        <v>8</v>
      </c>
      <c r="C12" s="85">
        <v>7</v>
      </c>
      <c r="D12" s="85" t="s">
        <v>206</v>
      </c>
      <c r="E12" s="85">
        <v>1</v>
      </c>
    </row>
    <row r="13" spans="1:5" ht="15.6" x14ac:dyDescent="0.3">
      <c r="A13" s="84" t="s">
        <v>124</v>
      </c>
      <c r="B13" s="85">
        <v>74</v>
      </c>
      <c r="C13" s="85">
        <v>37</v>
      </c>
      <c r="D13" s="85" t="s">
        <v>207</v>
      </c>
      <c r="E13" s="85">
        <v>37</v>
      </c>
    </row>
    <row r="14" spans="1:5" ht="15.6" x14ac:dyDescent="0.3">
      <c r="A14" s="84" t="s">
        <v>87</v>
      </c>
      <c r="B14" s="85">
        <v>11</v>
      </c>
      <c r="C14" s="85">
        <v>3</v>
      </c>
      <c r="D14" s="85" t="s">
        <v>208</v>
      </c>
      <c r="E14" s="85">
        <v>8</v>
      </c>
    </row>
    <row r="15" spans="1:5" ht="15.6" x14ac:dyDescent="0.3">
      <c r="A15" s="84" t="s">
        <v>122</v>
      </c>
      <c r="B15" s="85">
        <v>83</v>
      </c>
      <c r="C15" s="85">
        <v>46</v>
      </c>
      <c r="D15" s="85" t="s">
        <v>209</v>
      </c>
      <c r="E15" s="85">
        <v>37</v>
      </c>
    </row>
    <row r="16" spans="1:5" ht="15.6" x14ac:dyDescent="0.3">
      <c r="A16" s="84" t="s">
        <v>115</v>
      </c>
      <c r="B16" s="85">
        <v>37</v>
      </c>
      <c r="C16" s="85">
        <v>14</v>
      </c>
      <c r="D16" s="85" t="s">
        <v>210</v>
      </c>
      <c r="E16" s="85">
        <v>23</v>
      </c>
    </row>
    <row r="17" spans="1:5" ht="15.6" x14ac:dyDescent="0.3">
      <c r="A17" s="84" t="s">
        <v>131</v>
      </c>
      <c r="B17" s="85">
        <v>47</v>
      </c>
      <c r="C17" s="85">
        <v>31</v>
      </c>
      <c r="D17" s="85" t="s">
        <v>211</v>
      </c>
      <c r="E17" s="85">
        <v>16</v>
      </c>
    </row>
    <row r="18" spans="1:5" ht="15.6" x14ac:dyDescent="0.3">
      <c r="A18" s="84" t="s">
        <v>130</v>
      </c>
      <c r="B18" s="85">
        <v>17</v>
      </c>
      <c r="C18" s="85">
        <v>11</v>
      </c>
      <c r="D18" s="85" t="s">
        <v>212</v>
      </c>
      <c r="E18" s="85">
        <v>6</v>
      </c>
    </row>
    <row r="19" spans="1:5" ht="15.6" x14ac:dyDescent="0.3">
      <c r="A19" s="84" t="s">
        <v>129</v>
      </c>
      <c r="B19" s="85">
        <v>113</v>
      </c>
      <c r="C19" s="85">
        <v>68</v>
      </c>
      <c r="D19" s="85" t="s">
        <v>213</v>
      </c>
      <c r="E19" s="85">
        <v>45</v>
      </c>
    </row>
    <row r="20" spans="1:5" ht="15.6" x14ac:dyDescent="0.3">
      <c r="A20" s="84" t="s">
        <v>109</v>
      </c>
      <c r="B20" s="85">
        <v>6</v>
      </c>
      <c r="C20" s="85">
        <v>2</v>
      </c>
      <c r="D20" s="85" t="s">
        <v>214</v>
      </c>
      <c r="E20" s="85">
        <v>4</v>
      </c>
    </row>
    <row r="21" spans="1:5" ht="15.6" x14ac:dyDescent="0.3">
      <c r="A21" s="84" t="s">
        <v>30</v>
      </c>
      <c r="B21" s="85">
        <v>17</v>
      </c>
      <c r="C21" s="85">
        <v>9</v>
      </c>
      <c r="D21" s="85" t="s">
        <v>215</v>
      </c>
      <c r="E21" s="85">
        <v>8</v>
      </c>
    </row>
    <row r="22" spans="1:5" ht="15.6" x14ac:dyDescent="0.3">
      <c r="A22" s="84" t="s">
        <v>125</v>
      </c>
      <c r="B22" s="85">
        <v>38</v>
      </c>
      <c r="C22" s="85">
        <v>18</v>
      </c>
      <c r="D22" s="85" t="s">
        <v>216</v>
      </c>
      <c r="E22" s="85">
        <v>20</v>
      </c>
    </row>
    <row r="23" spans="1:5" ht="15.6" x14ac:dyDescent="0.3">
      <c r="A23" s="84" t="s">
        <v>133</v>
      </c>
      <c r="B23" s="85">
        <v>24</v>
      </c>
      <c r="C23" s="85">
        <v>18</v>
      </c>
      <c r="D23" s="85" t="s">
        <v>217</v>
      </c>
      <c r="E23" s="85">
        <v>6</v>
      </c>
    </row>
    <row r="24" spans="1:5" ht="15.6" x14ac:dyDescent="0.3">
      <c r="A24" s="84" t="s">
        <v>78</v>
      </c>
      <c r="B24" s="85">
        <v>31</v>
      </c>
      <c r="C24" s="85">
        <v>11</v>
      </c>
      <c r="D24" s="85" t="s">
        <v>218</v>
      </c>
      <c r="E24" s="85">
        <v>20</v>
      </c>
    </row>
    <row r="25" spans="1:5" ht="15.6" x14ac:dyDescent="0.3">
      <c r="A25" s="84" t="s">
        <v>116</v>
      </c>
      <c r="B25" s="85">
        <v>32</v>
      </c>
      <c r="C25" s="85">
        <v>12</v>
      </c>
      <c r="D25" s="85" t="s">
        <v>200</v>
      </c>
      <c r="E25" s="85">
        <v>20</v>
      </c>
    </row>
    <row r="26" spans="1:5" ht="15.6" x14ac:dyDescent="0.3">
      <c r="A26" s="84" t="s">
        <v>111</v>
      </c>
      <c r="B26" s="85">
        <v>15</v>
      </c>
      <c r="C26" s="85">
        <v>4</v>
      </c>
      <c r="D26" s="85" t="s">
        <v>219</v>
      </c>
      <c r="E26" s="85">
        <v>11</v>
      </c>
    </row>
    <row r="27" spans="1:5" ht="15.6" x14ac:dyDescent="0.3">
      <c r="A27" s="84" t="s">
        <v>68</v>
      </c>
      <c r="B27" s="85">
        <v>8</v>
      </c>
      <c r="C27" s="85">
        <v>0</v>
      </c>
      <c r="D27" s="85" t="s">
        <v>199</v>
      </c>
      <c r="E27" s="85">
        <v>8</v>
      </c>
    </row>
    <row r="28" spans="1:5" ht="15.6" x14ac:dyDescent="0.3">
      <c r="A28" s="84" t="s">
        <v>119</v>
      </c>
      <c r="B28" s="85">
        <v>20</v>
      </c>
      <c r="C28" s="85">
        <v>9</v>
      </c>
      <c r="D28" s="85" t="s">
        <v>220</v>
      </c>
      <c r="E28" s="85">
        <v>11</v>
      </c>
    </row>
    <row r="29" spans="1:5" ht="15.6" x14ac:dyDescent="0.3">
      <c r="A29" s="84" t="s">
        <v>127</v>
      </c>
      <c r="B29" s="85">
        <v>23</v>
      </c>
      <c r="C29" s="85">
        <v>12</v>
      </c>
      <c r="D29" s="85" t="s">
        <v>221</v>
      </c>
      <c r="E29" s="85">
        <v>11</v>
      </c>
    </row>
    <row r="30" spans="1:5" ht="15.6" x14ac:dyDescent="0.3">
      <c r="A30" s="84" t="s">
        <v>117</v>
      </c>
      <c r="B30" s="85">
        <v>15</v>
      </c>
      <c r="C30" s="85">
        <v>6</v>
      </c>
      <c r="D30" s="85" t="s">
        <v>222</v>
      </c>
      <c r="E30" s="85">
        <v>9</v>
      </c>
    </row>
    <row r="31" spans="1:5" ht="15.6" x14ac:dyDescent="0.3">
      <c r="A31" s="84" t="s">
        <v>121</v>
      </c>
      <c r="B31" s="85">
        <v>8</v>
      </c>
      <c r="C31" s="85">
        <v>3</v>
      </c>
      <c r="D31" s="85" t="s">
        <v>200</v>
      </c>
      <c r="E31" s="85">
        <v>5</v>
      </c>
    </row>
    <row r="32" spans="1:5" ht="15.6" x14ac:dyDescent="0.3">
      <c r="A32" s="84" t="s">
        <v>72</v>
      </c>
      <c r="B32" s="85">
        <v>55</v>
      </c>
      <c r="C32" s="85">
        <v>20</v>
      </c>
      <c r="D32" s="85" t="s">
        <v>223</v>
      </c>
      <c r="E32" s="85">
        <v>35</v>
      </c>
    </row>
    <row r="33" spans="1:5" ht="15.6" x14ac:dyDescent="0.3">
      <c r="A33" s="84" t="s">
        <v>84</v>
      </c>
      <c r="B33" s="85">
        <v>27</v>
      </c>
      <c r="C33" s="85">
        <v>14</v>
      </c>
      <c r="D33" s="85" t="s">
        <v>224</v>
      </c>
      <c r="E33" s="85">
        <v>13</v>
      </c>
    </row>
    <row r="34" spans="1:5" ht="15.6" x14ac:dyDescent="0.3">
      <c r="A34" s="84" t="s">
        <v>114</v>
      </c>
      <c r="B34" s="85">
        <v>32</v>
      </c>
      <c r="C34" s="85">
        <v>11</v>
      </c>
      <c r="D34" s="85" t="s">
        <v>225</v>
      </c>
      <c r="E34" s="85">
        <v>21</v>
      </c>
    </row>
    <row r="35" spans="1:5" ht="15.6" x14ac:dyDescent="0.3">
      <c r="A35" s="84" t="s">
        <v>126</v>
      </c>
      <c r="B35" s="85">
        <v>14</v>
      </c>
      <c r="C35" s="85">
        <v>7</v>
      </c>
      <c r="D35" s="85" t="s">
        <v>207</v>
      </c>
      <c r="E35" s="85">
        <v>7</v>
      </c>
    </row>
    <row r="36" spans="1:5" ht="15.6" x14ac:dyDescent="0.3">
      <c r="A36" s="84" t="s">
        <v>60</v>
      </c>
      <c r="B36" s="85">
        <v>11</v>
      </c>
      <c r="C36" s="85">
        <v>3</v>
      </c>
      <c r="D36" s="85" t="s">
        <v>208</v>
      </c>
      <c r="E36" s="85">
        <v>8</v>
      </c>
    </row>
    <row r="37" spans="1:5" ht="15.6" x14ac:dyDescent="0.3">
      <c r="A37" s="84" t="s">
        <v>90</v>
      </c>
      <c r="B37" s="85">
        <v>9</v>
      </c>
      <c r="C37" s="85">
        <v>5</v>
      </c>
      <c r="D37" s="85" t="s">
        <v>226</v>
      </c>
      <c r="E37" s="85">
        <v>4</v>
      </c>
    </row>
    <row r="38" spans="1:5" ht="15.6" x14ac:dyDescent="0.3">
      <c r="A38" s="84" t="s">
        <v>57</v>
      </c>
      <c r="B38" s="85">
        <v>57</v>
      </c>
      <c r="C38" s="85">
        <v>25</v>
      </c>
      <c r="D38" s="85" t="s">
        <v>227</v>
      </c>
      <c r="E38" s="85">
        <v>32</v>
      </c>
    </row>
    <row r="39" spans="1:5" ht="15.6" x14ac:dyDescent="0.3">
      <c r="A39" s="84" t="s">
        <v>118</v>
      </c>
      <c r="B39" s="85">
        <v>14</v>
      </c>
      <c r="C39" s="85">
        <v>7</v>
      </c>
      <c r="D39" s="85" t="s">
        <v>207</v>
      </c>
      <c r="E39" s="85">
        <v>7</v>
      </c>
    </row>
    <row r="40" spans="1:5" ht="15.6" x14ac:dyDescent="0.3">
      <c r="A40" s="84" t="s">
        <v>61</v>
      </c>
      <c r="B40" s="85">
        <v>27</v>
      </c>
      <c r="C40" s="85">
        <v>16</v>
      </c>
      <c r="D40" s="85" t="s">
        <v>228</v>
      </c>
      <c r="E40" s="85">
        <v>11</v>
      </c>
    </row>
    <row r="41" spans="1:5" ht="15.6" x14ac:dyDescent="0.3">
      <c r="A41" s="84" t="s">
        <v>123</v>
      </c>
      <c r="B41" s="85">
        <v>16</v>
      </c>
      <c r="C41" s="85">
        <v>8</v>
      </c>
      <c r="D41" s="85" t="s">
        <v>207</v>
      </c>
      <c r="E41" s="85">
        <v>8</v>
      </c>
    </row>
    <row r="42" spans="1:5" ht="15.6" x14ac:dyDescent="0.3">
      <c r="A42" s="84" t="s">
        <v>108</v>
      </c>
      <c r="B42" s="85">
        <v>13</v>
      </c>
      <c r="C42" s="85">
        <v>5</v>
      </c>
      <c r="D42" s="85" t="s">
        <v>229</v>
      </c>
      <c r="E42" s="85">
        <v>8</v>
      </c>
    </row>
    <row r="43" spans="1:5" ht="23.4" x14ac:dyDescent="0.3">
      <c r="A43" s="86" t="s">
        <v>106</v>
      </c>
      <c r="B43" s="87">
        <v>1182</v>
      </c>
      <c r="C43" s="87">
        <v>596</v>
      </c>
      <c r="D43" s="87" t="s">
        <v>230</v>
      </c>
      <c r="E43" s="87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1_Medleaper-MLC</vt:lpstr>
      <vt:lpstr>2_ Medleaper-PME</vt:lpstr>
      <vt:lpstr>4_EDAR</vt:lpstr>
      <vt:lpstr>8_ZEROFIRS</vt:lpstr>
      <vt:lpstr>9_CITIZENPORTAL</vt:lpstr>
      <vt:lpstr>12_EPROSECUTION</vt:lpstr>
      <vt:lpstr>15_CCTV360</vt:lpstr>
      <vt:lpstr>CEIR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ITCT KDR SD</dc:creator>
  <dc:description/>
  <cp:lastModifiedBy>SP SRI SATHYA SAI</cp:lastModifiedBy>
  <cp:revision>0</cp:revision>
  <cp:lastPrinted>2026-10-01T07:30:52Z</cp:lastPrinted>
  <dcterms:created xsi:type="dcterms:W3CDTF">2015-06-05T18:17:20Z</dcterms:created>
  <dcterms:modified xsi:type="dcterms:W3CDTF">2026-10-07T11:09:37Z</dcterms:modified>
  <dc:language>en-US</dc:language>
</cp:coreProperties>
</file>